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4" i="1" l="1"/>
  <c r="N44" i="1"/>
  <c r="M44" i="1"/>
  <c r="L44" i="1"/>
  <c r="K44" i="1"/>
  <c r="T43" i="1"/>
  <c r="S43" i="1"/>
  <c r="R43" i="1"/>
  <c r="Q43" i="1"/>
  <c r="P43" i="1"/>
  <c r="O43" i="1"/>
  <c r="N43" i="1"/>
  <c r="M43" i="1"/>
  <c r="L43" i="1"/>
  <c r="K43" i="1"/>
  <c r="C5" i="1" l="1"/>
</calcChain>
</file>

<file path=xl/sharedStrings.xml><?xml version="1.0" encoding="utf-8"?>
<sst xmlns="http://schemas.openxmlformats.org/spreadsheetml/2006/main" count="463" uniqueCount="142">
  <si>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</si>
  <si>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</si>
  <si>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</si>
  <si>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</si>
  <si>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</si>
  <si>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</si>
  <si>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</si>
  <si>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</si>
  <si>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</si>
  <si>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</si>
  <si>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</si>
  <si>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</si>
  <si>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</si>
  <si>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</si>
  <si>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</si>
  <si>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</si>
  <si>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</si>
  <si>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</si>
  <si>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</si>
  <si>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</si>
  <si>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</si>
  <si>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</si>
  <si>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</si>
  <si>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</si>
  <si>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</si>
  <si>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</si>
  <si>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</si>
  <si>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</si>
  <si>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</si>
  <si>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</si>
  <si>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</si>
  <si>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</si>
  <si>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</si>
  <si>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</si>
  <si>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</si>
  <si>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</si>
  <si>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</si>
  <si>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</si>
  <si>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</si>
  <si>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</si>
  <si>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</si>
  <si>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</si>
  <si>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</si>
  <si>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</si>
  <si>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</si>
  <si>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</si>
  <si>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</si>
  <si>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</si>
  <si>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</si>
  <si>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</si>
  <si>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</si>
  <si>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</si>
  <si>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</si>
  <si>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</si>
  <si>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</si>
  <si>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</si>
  <si>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</si>
  <si>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</si>
  <si>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</si>
  <si>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</si>
  <si>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</si>
  <si>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</si>
  <si>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</si>
  <si>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</si>
  <si>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</si>
  <si>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</si>
  <si>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</si>
  <si>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</si>
  <si>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</si>
  <si>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</si>
  <si>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</si>
  <si>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</si>
  <si>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</si>
  <si>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</si>
  <si>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</si>
  <si>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</si>
  <si>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</si>
  <si>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</si>
  <si>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</si>
  <si>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</si>
  <si>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</si>
  <si>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</si>
  <si>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</si>
  <si>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</si>
  <si>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</si>
  <si>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</si>
  <si>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</si>
  <si>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</si>
  <si>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</si>
  <si>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</si>
  <si>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</si>
  <si>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</si>
  <si>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</si>
  <si>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</si>
  <si>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</si>
  <si>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</si>
  <si>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</si>
  <si>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</si>
  <si>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</si>
  <si>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</si>
  <si>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</si>
  <si>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</si>
  <si>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</si>
  <si>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</si>
  <si>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</si>
  <si>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</si>
  <si>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</si>
  <si>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</si>
  <si>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</si>
  <si>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</si>
  <si>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</si>
  <si>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</si>
  <si>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</si>
  <si>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</si>
  <si>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</si>
  <si>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</si>
  <si>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</si>
  <si>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</si>
  <si>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</si>
  <si>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</si>
  <si>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</si>
  <si>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</si>
  <si>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</si>
  <si>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</si>
  <si>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</si>
  <si>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</si>
  <si>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</si>
  <si>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</si>
  <si>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</si>
  <si>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</si>
  <si>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</si>
  <si>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</si>
  <si>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</si>
  <si>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</si>
  <si>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</si>
  <si>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</si>
  <si>
    <t>Agua</t>
  </si>
  <si>
    <t>Peroxido</t>
  </si>
  <si>
    <t>Tolueno</t>
  </si>
  <si>
    <t>z5</t>
  </si>
  <si>
    <t>Ac. Octanóico</t>
  </si>
  <si>
    <t>Limoneno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</si>
</sst>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44"/>
  <sheetViews>
    <sheetView tabSelected="1" topLeftCell="H29" workbookViewId="0">
      <selection activeCell="R35" sqref="R35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5</v>
      </c>
    </row>
    <row r="8" spans="1:12" x14ac:dyDescent="0.25">
      <c r="A8" s="21" t="s">
        <v>136</v>
      </c>
      <c r="B8" s="14" t="s">
        <v>116</v>
      </c>
      <c r="C8" s="14" t="s">
        <v>87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1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137</v>
      </c>
      <c r="B10" s="14" t="s">
        <v>116</v>
      </c>
      <c r="C10" s="14" t="s">
        <v>89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2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1" t="s">
        <v>141</v>
      </c>
      <c r="B12" s="14" t="s">
        <v>116</v>
      </c>
      <c r="C12" s="14" t="s">
        <v>101</v>
      </c>
      <c r="D12" s="14" t="s">
        <v>103</v>
      </c>
      <c r="E12" s="14" t="s">
        <v>102</v>
      </c>
      <c r="F12" s="14" t="s">
        <v>98</v>
      </c>
      <c r="G12" s="14" t="s">
        <v>97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3"/>
      <c r="B13" s="15" t="s">
        <v>119</v>
      </c>
      <c r="C13" s="15">
        <v>2</v>
      </c>
      <c r="D13" s="15">
        <v>3</v>
      </c>
      <c r="E13" s="15">
        <v>1</v>
      </c>
      <c r="F13" s="15">
        <v>1</v>
      </c>
      <c r="G13" s="15">
        <v>1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21" t="s">
        <v>140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3"/>
      <c r="B15" s="15" t="s">
        <v>119</v>
      </c>
      <c r="C15" s="15">
        <v>1</v>
      </c>
      <c r="D15" s="15">
        <v>6</v>
      </c>
      <c r="E15" s="15">
        <v>1</v>
      </c>
      <c r="F15" s="15" t="s">
        <v>118</v>
      </c>
      <c r="G15" s="15" t="s">
        <v>118</v>
      </c>
      <c r="H15" s="15" t="s">
        <v>118</v>
      </c>
      <c r="I15" s="15" t="s">
        <v>118</v>
      </c>
      <c r="J15" s="15" t="s">
        <v>118</v>
      </c>
      <c r="K15" s="15" t="s">
        <v>118</v>
      </c>
      <c r="L15" s="15" t="s">
        <v>118</v>
      </c>
    </row>
    <row r="16" spans="1:12" x14ac:dyDescent="0.25">
      <c r="A16" s="21" t="s">
        <v>138</v>
      </c>
      <c r="B16" s="14" t="s">
        <v>116</v>
      </c>
      <c r="C16" s="14" t="s">
        <v>94</v>
      </c>
      <c r="D16" s="14" t="s">
        <v>91</v>
      </c>
      <c r="E16" s="14" t="s">
        <v>117</v>
      </c>
      <c r="F16" s="14" t="s">
        <v>117</v>
      </c>
      <c r="G16" s="14" t="s">
        <v>117</v>
      </c>
      <c r="H16" s="14" t="s">
        <v>117</v>
      </c>
      <c r="I16" s="14" t="s">
        <v>117</v>
      </c>
      <c r="J16" s="14" t="s">
        <v>117</v>
      </c>
      <c r="K16" s="14" t="s">
        <v>117</v>
      </c>
      <c r="L16" s="14" t="s">
        <v>117</v>
      </c>
    </row>
    <row r="17" spans="1:12" x14ac:dyDescent="0.25">
      <c r="A17" s="22"/>
      <c r="B17" s="16" t="s">
        <v>119</v>
      </c>
      <c r="C17" s="16">
        <v>5</v>
      </c>
      <c r="D17" s="16">
        <v>1</v>
      </c>
      <c r="E17" s="16" t="s">
        <v>118</v>
      </c>
      <c r="F17" s="16" t="s">
        <v>118</v>
      </c>
      <c r="G17" s="16" t="s">
        <v>118</v>
      </c>
      <c r="H17" s="16" t="s">
        <v>118</v>
      </c>
      <c r="I17" s="16" t="s">
        <v>118</v>
      </c>
      <c r="J17" s="16" t="s">
        <v>118</v>
      </c>
      <c r="K17" s="16" t="s">
        <v>118</v>
      </c>
      <c r="L17" s="16" t="s">
        <v>118</v>
      </c>
    </row>
    <row r="19" spans="1:12" x14ac:dyDescent="0.25">
      <c r="A19" s="18">
        <v>10</v>
      </c>
      <c r="B19" s="12" t="s">
        <v>87</v>
      </c>
      <c r="C19" s="12" t="s">
        <v>89</v>
      </c>
      <c r="D19" s="12" t="s">
        <v>101</v>
      </c>
      <c r="E19" s="12" t="s">
        <v>103</v>
      </c>
      <c r="F19" s="12" t="s">
        <v>102</v>
      </c>
      <c r="G19" s="12" t="s">
        <v>98</v>
      </c>
      <c r="H19" s="12" t="s">
        <v>97</v>
      </c>
      <c r="I19" s="12" t="s">
        <v>61</v>
      </c>
      <c r="J19" s="12" t="s">
        <v>94</v>
      </c>
      <c r="K19" s="17" t="s">
        <v>91</v>
      </c>
    </row>
    <row r="20" spans="1:12" x14ac:dyDescent="0.25">
      <c r="A20" s="12" t="s">
        <v>120</v>
      </c>
      <c r="B20" s="9">
        <v>0.92</v>
      </c>
      <c r="C20" s="9">
        <v>1</v>
      </c>
      <c r="D20" s="9">
        <v>0.90100000000000002</v>
      </c>
      <c r="E20" s="9">
        <v>0.67400000000000004</v>
      </c>
      <c r="F20" s="9">
        <v>0.44700000000000001</v>
      </c>
      <c r="G20" s="9">
        <v>1.117</v>
      </c>
      <c r="H20" s="9">
        <v>0.88900000000000001</v>
      </c>
      <c r="I20" s="9">
        <v>1.3009999999999999</v>
      </c>
      <c r="J20" s="9">
        <v>0.53100000000000003</v>
      </c>
      <c r="K20" s="13">
        <v>1.266</v>
      </c>
    </row>
    <row r="21" spans="1:12" x14ac:dyDescent="0.25">
      <c r="A21" s="12" t="s">
        <v>121</v>
      </c>
      <c r="B21" s="9">
        <v>1.4</v>
      </c>
      <c r="C21" s="9">
        <v>1.2</v>
      </c>
      <c r="D21" s="9">
        <v>0.84799999999999998</v>
      </c>
      <c r="E21" s="9">
        <v>0.54</v>
      </c>
      <c r="F21" s="9">
        <v>0.22800000000000001</v>
      </c>
      <c r="G21" s="9">
        <v>0.98799999999999999</v>
      </c>
      <c r="H21" s="9">
        <v>0.67600000000000005</v>
      </c>
      <c r="I21" s="9">
        <v>1.224</v>
      </c>
      <c r="J21" s="9">
        <v>0.4</v>
      </c>
      <c r="K21" s="13">
        <v>0.96799999999999997</v>
      </c>
    </row>
    <row r="22" spans="1:12" x14ac:dyDescent="0.25">
      <c r="A22" s="12" t="s">
        <v>87</v>
      </c>
      <c r="B22" s="9">
        <v>0</v>
      </c>
      <c r="C22" s="9">
        <v>-229.1</v>
      </c>
      <c r="D22" s="9">
        <v>300</v>
      </c>
      <c r="E22" s="9">
        <v>300</v>
      </c>
      <c r="F22" s="9">
        <v>300</v>
      </c>
      <c r="G22" s="9">
        <v>496.1</v>
      </c>
      <c r="H22" s="9">
        <v>496.1</v>
      </c>
      <c r="I22" s="9">
        <v>-14.09</v>
      </c>
      <c r="J22" s="9">
        <v>362.3</v>
      </c>
      <c r="K22" s="13">
        <v>377.6</v>
      </c>
    </row>
    <row r="23" spans="1:12" x14ac:dyDescent="0.25">
      <c r="A23" s="12" t="s">
        <v>89</v>
      </c>
      <c r="B23" s="9">
        <v>353.5</v>
      </c>
      <c r="C23" s="9">
        <v>0</v>
      </c>
      <c r="D23" s="9">
        <v>156.4</v>
      </c>
      <c r="E23" s="9">
        <v>156.4</v>
      </c>
      <c r="F23" s="9">
        <v>156.4</v>
      </c>
      <c r="G23" s="9">
        <v>457</v>
      </c>
      <c r="H23" s="9">
        <v>457</v>
      </c>
      <c r="I23" s="9">
        <v>199</v>
      </c>
      <c r="J23" s="9">
        <v>89.6</v>
      </c>
      <c r="K23" s="13">
        <v>25.82</v>
      </c>
    </row>
    <row r="24" spans="1:12" x14ac:dyDescent="0.25">
      <c r="A24" s="12" t="s">
        <v>101</v>
      </c>
      <c r="B24" s="9">
        <v>1318</v>
      </c>
      <c r="C24" s="9">
        <v>986.5</v>
      </c>
      <c r="D24" s="9">
        <v>0</v>
      </c>
      <c r="E24" s="9">
        <v>0</v>
      </c>
      <c r="F24" s="9">
        <v>0</v>
      </c>
      <c r="G24" s="9">
        <v>85</v>
      </c>
      <c r="H24" s="9">
        <v>85</v>
      </c>
      <c r="I24" s="9">
        <v>663.5</v>
      </c>
      <c r="J24" s="9">
        <v>61.13</v>
      </c>
      <c r="K24" s="13">
        <v>76.5</v>
      </c>
    </row>
    <row r="25" spans="1:12" x14ac:dyDescent="0.25">
      <c r="A25" s="12" t="s">
        <v>103</v>
      </c>
      <c r="B25" s="9">
        <v>1318</v>
      </c>
      <c r="C25" s="9">
        <v>986.5</v>
      </c>
      <c r="D25" s="9">
        <v>0</v>
      </c>
      <c r="E25" s="9">
        <v>0</v>
      </c>
      <c r="F25" s="9">
        <v>0</v>
      </c>
      <c r="G25" s="9">
        <v>85</v>
      </c>
      <c r="H25" s="9">
        <v>85</v>
      </c>
      <c r="I25" s="9">
        <v>663.5</v>
      </c>
      <c r="J25" s="9">
        <v>61.13</v>
      </c>
      <c r="K25" s="13">
        <v>76.5</v>
      </c>
    </row>
    <row r="26" spans="1:12" x14ac:dyDescent="0.25">
      <c r="A26" s="12" t="s">
        <v>102</v>
      </c>
      <c r="B26" s="9">
        <v>1318</v>
      </c>
      <c r="C26" s="9">
        <v>986.5</v>
      </c>
      <c r="D26" s="9">
        <v>0</v>
      </c>
      <c r="E26" s="9">
        <v>0</v>
      </c>
      <c r="F26" s="9">
        <v>0</v>
      </c>
      <c r="G26" s="9">
        <v>85</v>
      </c>
      <c r="H26" s="9">
        <v>85</v>
      </c>
      <c r="I26" s="9">
        <v>663.5</v>
      </c>
      <c r="J26" s="9">
        <v>61.13</v>
      </c>
      <c r="K26" s="13">
        <v>76.5</v>
      </c>
    </row>
    <row r="27" spans="1:12" x14ac:dyDescent="0.25">
      <c r="A27" s="12" t="s">
        <v>98</v>
      </c>
      <c r="B27" s="9">
        <v>270.60000000000002</v>
      </c>
      <c r="C27" s="9">
        <v>524.1</v>
      </c>
      <c r="D27" s="9">
        <v>-35.36</v>
      </c>
      <c r="E27" s="9">
        <v>-35.36</v>
      </c>
      <c r="F27" s="9">
        <v>-35.36</v>
      </c>
      <c r="G27" s="9">
        <v>0</v>
      </c>
      <c r="H27" s="9">
        <v>0</v>
      </c>
      <c r="I27" s="9">
        <v>318.89999999999998</v>
      </c>
      <c r="J27" s="9">
        <v>38.81</v>
      </c>
      <c r="K27" s="13">
        <v>74.150000000000006</v>
      </c>
    </row>
    <row r="28" spans="1:12" x14ac:dyDescent="0.25">
      <c r="A28" s="12" t="s">
        <v>97</v>
      </c>
      <c r="B28" s="9">
        <v>270.60000000000002</v>
      </c>
      <c r="C28" s="9">
        <v>524.1</v>
      </c>
      <c r="D28" s="9">
        <v>-35.36</v>
      </c>
      <c r="E28" s="9">
        <v>-35.36</v>
      </c>
      <c r="F28" s="9">
        <v>-35.36</v>
      </c>
      <c r="G28" s="9">
        <v>0</v>
      </c>
      <c r="H28" s="9">
        <v>0</v>
      </c>
      <c r="I28" s="9">
        <v>318.89999999999998</v>
      </c>
      <c r="J28" s="9">
        <v>38.81</v>
      </c>
      <c r="K28" s="13">
        <v>74.150000000000006</v>
      </c>
    </row>
    <row r="29" spans="1:12" x14ac:dyDescent="0.25">
      <c r="A29" s="12" t="s">
        <v>61</v>
      </c>
      <c r="B29" s="9">
        <v>-66.17</v>
      </c>
      <c r="C29" s="9">
        <v>-151</v>
      </c>
      <c r="D29" s="9">
        <v>315.3</v>
      </c>
      <c r="E29" s="9">
        <v>315.3</v>
      </c>
      <c r="F29" s="9">
        <v>315.3</v>
      </c>
      <c r="G29" s="9">
        <v>1264</v>
      </c>
      <c r="H29" s="9">
        <v>1264</v>
      </c>
      <c r="I29" s="9">
        <v>0</v>
      </c>
      <c r="J29" s="9">
        <v>62.32</v>
      </c>
      <c r="K29" s="13">
        <v>89.86</v>
      </c>
    </row>
    <row r="30" spans="1:12" x14ac:dyDescent="0.25">
      <c r="A30" s="12" t="s">
        <v>94</v>
      </c>
      <c r="B30" s="9">
        <v>903.8</v>
      </c>
      <c r="C30" s="9">
        <v>636.1</v>
      </c>
      <c r="D30" s="9">
        <v>-11.12</v>
      </c>
      <c r="E30" s="9">
        <v>-11.12</v>
      </c>
      <c r="F30" s="9">
        <v>-11.12</v>
      </c>
      <c r="G30" s="9">
        <v>3.4460000000000002</v>
      </c>
      <c r="H30" s="9">
        <v>3.4460000000000002</v>
      </c>
      <c r="I30" s="9">
        <v>537.4</v>
      </c>
      <c r="J30" s="9">
        <v>0</v>
      </c>
      <c r="K30" s="13">
        <v>167</v>
      </c>
    </row>
    <row r="31" spans="1:12" x14ac:dyDescent="0.25">
      <c r="A31" s="12" t="s">
        <v>91</v>
      </c>
      <c r="B31" s="9">
        <v>5695</v>
      </c>
      <c r="C31" s="9">
        <v>803.2</v>
      </c>
      <c r="D31" s="9">
        <v>-69.7</v>
      </c>
      <c r="E31" s="9">
        <v>-69.7</v>
      </c>
      <c r="F31" s="9">
        <v>-69.7</v>
      </c>
      <c r="G31" s="9">
        <v>-113.6</v>
      </c>
      <c r="H31" s="9">
        <v>-113.6</v>
      </c>
      <c r="I31" s="9">
        <v>872.3</v>
      </c>
      <c r="J31" s="9">
        <v>-146.80000000000001</v>
      </c>
      <c r="K31" s="13">
        <v>0</v>
      </c>
    </row>
    <row r="32" spans="1:12" x14ac:dyDescent="0.25">
      <c r="A32" s="12" t="s">
        <v>136</v>
      </c>
      <c r="B32" s="9">
        <v>1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13">
        <v>0</v>
      </c>
    </row>
    <row r="33" spans="1:20" x14ac:dyDescent="0.25">
      <c r="A33" s="12" t="s">
        <v>137</v>
      </c>
      <c r="B33" s="9">
        <v>0</v>
      </c>
      <c r="C33" s="9">
        <v>2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13">
        <v>0</v>
      </c>
    </row>
    <row r="34" spans="1:20" x14ac:dyDescent="0.25">
      <c r="A34" s="12" t="s">
        <v>141</v>
      </c>
      <c r="B34" s="9">
        <v>0</v>
      </c>
      <c r="C34" s="9">
        <v>0</v>
      </c>
      <c r="D34" s="9">
        <v>2</v>
      </c>
      <c r="E34" s="9">
        <v>3</v>
      </c>
      <c r="F34" s="9">
        <v>1</v>
      </c>
      <c r="G34" s="9">
        <v>1</v>
      </c>
      <c r="H34" s="9">
        <v>1</v>
      </c>
      <c r="I34" s="9">
        <v>0</v>
      </c>
      <c r="J34" s="9">
        <v>0</v>
      </c>
      <c r="K34" s="13">
        <v>0</v>
      </c>
    </row>
    <row r="35" spans="1:20" x14ac:dyDescent="0.25">
      <c r="A35" s="12" t="s">
        <v>140</v>
      </c>
      <c r="B35" s="9">
        <v>0</v>
      </c>
      <c r="C35" s="9">
        <v>0</v>
      </c>
      <c r="D35" s="9">
        <v>1</v>
      </c>
      <c r="E35" s="9">
        <v>6</v>
      </c>
      <c r="F35" s="9">
        <v>0</v>
      </c>
      <c r="G35" s="9">
        <v>0</v>
      </c>
      <c r="H35" s="9">
        <v>0</v>
      </c>
      <c r="I35" s="9">
        <v>1</v>
      </c>
      <c r="J35" s="9">
        <v>0</v>
      </c>
      <c r="K35" s="13">
        <v>0</v>
      </c>
    </row>
    <row r="36" spans="1:20" x14ac:dyDescent="0.25">
      <c r="A36" s="8" t="s">
        <v>138</v>
      </c>
      <c r="B36" s="10">
        <v>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5</v>
      </c>
      <c r="K36" s="11">
        <v>1</v>
      </c>
    </row>
    <row r="38" spans="1:20" x14ac:dyDescent="0.25">
      <c r="B38" s="17" t="s">
        <v>123</v>
      </c>
      <c r="K38" s="17" t="s">
        <v>130</v>
      </c>
      <c r="P38" s="17" t="s">
        <v>131</v>
      </c>
    </row>
    <row r="39" spans="1:20" x14ac:dyDescent="0.25">
      <c r="A39" s="19" t="s">
        <v>122</v>
      </c>
      <c r="B39" s="12" t="s">
        <v>124</v>
      </c>
      <c r="C39" s="12" t="s">
        <v>125</v>
      </c>
      <c r="D39" s="12" t="s">
        <v>126</v>
      </c>
      <c r="E39" s="12" t="s">
        <v>127</v>
      </c>
      <c r="F39" s="12" t="s">
        <v>128</v>
      </c>
      <c r="G39" s="12" t="s">
        <v>129</v>
      </c>
      <c r="H39" s="17" t="s">
        <v>139</v>
      </c>
      <c r="J39" s="12" t="s">
        <v>134</v>
      </c>
      <c r="K39" s="12">
        <v>1</v>
      </c>
      <c r="L39" s="12">
        <v>2</v>
      </c>
      <c r="M39" s="12">
        <v>3</v>
      </c>
      <c r="N39" s="12">
        <v>4</v>
      </c>
      <c r="O39" s="12">
        <v>5</v>
      </c>
      <c r="P39" s="12">
        <v>1</v>
      </c>
      <c r="Q39" s="12">
        <v>2</v>
      </c>
      <c r="R39" s="12">
        <v>3</v>
      </c>
      <c r="S39" s="12">
        <v>4</v>
      </c>
      <c r="T39" s="17">
        <v>5</v>
      </c>
    </row>
    <row r="40" spans="1:20" x14ac:dyDescent="0.25">
      <c r="A40" s="20"/>
      <c r="B40" s="10">
        <v>333</v>
      </c>
      <c r="C40" s="10">
        <v>1</v>
      </c>
      <c r="D40" s="10">
        <v>0.24375000000000002</v>
      </c>
      <c r="E40" s="10">
        <v>0.13124999999999998</v>
      </c>
      <c r="F40" s="10">
        <v>0.25</v>
      </c>
      <c r="G40" s="10">
        <v>0.125</v>
      </c>
      <c r="H40" s="11">
        <v>0.25</v>
      </c>
      <c r="J40" s="12" t="s">
        <v>135</v>
      </c>
      <c r="K40" s="9">
        <v>0.64607035999999995</v>
      </c>
      <c r="L40" s="9">
        <v>0.35391572999999998</v>
      </c>
      <c r="M40" s="9">
        <v>3.4999999999999998E-7</v>
      </c>
      <c r="N40" s="9">
        <v>1.3550000000000001E-5</v>
      </c>
      <c r="O40" s="9">
        <v>0</v>
      </c>
      <c r="P40" s="9">
        <v>7.3018099999999997E-3</v>
      </c>
      <c r="Q40" s="9">
        <v>3.8685E-4</v>
      </c>
      <c r="R40" s="9">
        <v>0.39692759999999999</v>
      </c>
      <c r="S40" s="9">
        <v>0.19845594</v>
      </c>
      <c r="T40" s="13">
        <v>0.3969278</v>
      </c>
    </row>
    <row r="41" spans="1:20" x14ac:dyDescent="0.25">
      <c r="J41" s="12" t="s">
        <v>132</v>
      </c>
      <c r="K41" s="9">
        <v>-2.0419739999999999E-2</v>
      </c>
      <c r="L41" s="9">
        <v>-9.5276300000000005E-3</v>
      </c>
      <c r="M41" s="9">
        <v>14.40870147</v>
      </c>
      <c r="N41" s="9">
        <v>10.305434139999999</v>
      </c>
      <c r="O41" s="9">
        <v>19.35289174</v>
      </c>
      <c r="P41" s="9">
        <v>4.4623665399999997</v>
      </c>
      <c r="Q41" s="9">
        <v>6.8092557600000001</v>
      </c>
      <c r="R41" s="9">
        <v>0.46975876</v>
      </c>
      <c r="S41" s="9">
        <v>0.71377577999999997</v>
      </c>
      <c r="T41" s="13">
        <v>1.06814823</v>
      </c>
    </row>
    <row r="42" spans="1:20" x14ac:dyDescent="0.25">
      <c r="J42" s="8" t="s">
        <v>133</v>
      </c>
      <c r="K42" s="10">
        <v>0.97978733105006022</v>
      </c>
      <c r="L42" s="10">
        <v>0.99051761406313144</v>
      </c>
      <c r="M42" s="10">
        <v>1809753.9775536587</v>
      </c>
      <c r="N42" s="10">
        <v>29894.629862879305</v>
      </c>
      <c r="O42" s="10">
        <v>254011916.69389996</v>
      </c>
      <c r="P42" s="10">
        <v>86.692427624415544</v>
      </c>
      <c r="Q42" s="10">
        <v>906.19612851069121</v>
      </c>
      <c r="R42" s="10">
        <v>1.5996082571716661</v>
      </c>
      <c r="S42" s="10">
        <v>2.0416856792397176</v>
      </c>
      <c r="T42" s="11">
        <v>2.9099858830905445</v>
      </c>
    </row>
    <row r="43" spans="1:20" x14ac:dyDescent="0.25">
      <c r="K43" s="5">
        <f>K42*K40</f>
        <v>0.63301155369495155</v>
      </c>
      <c r="L43" s="5">
        <f t="shared" ref="L43:T43" si="0">L42*L40</f>
        <v>0.35055976445901144</v>
      </c>
      <c r="M43" s="5">
        <f t="shared" si="0"/>
        <v>0.63341389214378052</v>
      </c>
      <c r="N43" s="5">
        <f t="shared" si="0"/>
        <v>0.40507223464201458</v>
      </c>
      <c r="O43" s="5">
        <f t="shared" si="0"/>
        <v>0</v>
      </c>
      <c r="P43" s="5">
        <f t="shared" si="0"/>
        <v>0.63301163495223367</v>
      </c>
      <c r="Q43" s="5">
        <f t="shared" si="0"/>
        <v>0.35056197231436087</v>
      </c>
      <c r="R43" s="5">
        <f t="shared" si="0"/>
        <v>0.63492866645933221</v>
      </c>
      <c r="S43" s="5">
        <f t="shared" si="0"/>
        <v>0.40518465065805664</v>
      </c>
      <c r="T43" s="5">
        <f t="shared" si="0"/>
        <v>1.155054294606187</v>
      </c>
    </row>
    <row r="44" spans="1:20" x14ac:dyDescent="0.25">
      <c r="K44" s="5">
        <f>P40/K40</f>
        <v>1.1301880494873654E-2</v>
      </c>
      <c r="L44" s="5">
        <f t="shared" ref="L44:O44" si="1">Q40/L40</f>
        <v>1.0930568132702099E-3</v>
      </c>
      <c r="M44" s="5">
        <f t="shared" si="1"/>
        <v>1134078.8571428573</v>
      </c>
      <c r="N44" s="5">
        <f t="shared" si="1"/>
        <v>14646.194833948339</v>
      </c>
      <c r="O44" s="5" t="e">
        <f t="shared" si="1"/>
        <v>#DIV/0!</v>
      </c>
    </row>
  </sheetData>
  <mergeCells count="8">
    <mergeCell ref="A39:A40"/>
    <mergeCell ref="A16:A17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C16:L16 C14:L14 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2019-02-21T19:45:14Z</dcterms:modified>
</cp:coreProperties>
</file>