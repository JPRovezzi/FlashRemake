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1" l="1"/>
  <c r="C5" i="1" l="1"/>
</calcChain>
</file>

<file path=xl/sharedStrings.xml><?xml version="1.0" encoding="utf-8"?>
<sst xmlns="http://schemas.openxmlformats.org/spreadsheetml/2006/main" count="411" uniqueCount="137">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</sst>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95251</xdr:colOff>
      <xdr:row>5</xdr:row>
      <xdr:rowOff>171450</xdr:rowOff>
    </xdr:from>
    <xdr:to>
      <xdr:col>15</xdr:col>
      <xdr:colOff>657226</xdr:colOff>
      <xdr:row>12</xdr:row>
      <xdr:rowOff>188945</xdr:rowOff>
    </xdr:to>
    <xdr:pic>
      <xdr:nvPicPr>
        <xdr:cNvPr id="7" name="Imagen 6" descr="Pulegone Structural Formulae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1" y="1181100"/>
          <a:ext cx="2647950" cy="13509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5"/>
  <sheetViews>
    <sheetView tabSelected="1" workbookViewId="0">
      <selection activeCell="I36" sqref="I36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19" t="s">
        <v>3</v>
      </c>
      <c r="C1" s="19"/>
      <c r="D1" s="19"/>
      <c r="E1" s="19"/>
      <c r="F1" s="19"/>
      <c r="G1" s="19"/>
      <c r="H1" s="19"/>
    </row>
    <row r="2" spans="1:12" ht="17.45" customHeight="1" thickBot="1" x14ac:dyDescent="0.3">
      <c r="A2" s="7" t="s">
        <v>0</v>
      </c>
      <c r="B2" s="19" t="s">
        <v>1</v>
      </c>
      <c r="C2" s="19"/>
      <c r="D2" s="19"/>
      <c r="E2" s="19"/>
      <c r="F2" s="19"/>
      <c r="G2" s="19"/>
      <c r="H2" s="19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0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1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0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1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0" t="s">
        <v>136</v>
      </c>
      <c r="B12" s="14" t="s">
        <v>116</v>
      </c>
      <c r="C12" s="14" t="s">
        <v>101</v>
      </c>
      <c r="D12" s="14" t="s">
        <v>103</v>
      </c>
      <c r="E12" s="14" t="s">
        <v>102</v>
      </c>
      <c r="F12" s="14" t="s">
        <v>84</v>
      </c>
      <c r="G12" s="14" t="s">
        <v>95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2"/>
      <c r="B13" s="16" t="s">
        <v>119</v>
      </c>
      <c r="C13" s="16">
        <v>3</v>
      </c>
      <c r="D13" s="16">
        <v>2</v>
      </c>
      <c r="E13" s="16">
        <v>1</v>
      </c>
      <c r="F13" s="16">
        <v>1</v>
      </c>
      <c r="G13" s="16">
        <v>1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7</v>
      </c>
      <c r="B15" s="12" t="s">
        <v>89</v>
      </c>
      <c r="C15" s="12" t="s">
        <v>87</v>
      </c>
      <c r="D15" s="12" t="s">
        <v>101</v>
      </c>
      <c r="E15" s="12" t="s">
        <v>103</v>
      </c>
      <c r="F15" s="12" t="s">
        <v>102</v>
      </c>
      <c r="G15" s="12" t="s">
        <v>84</v>
      </c>
      <c r="H15" s="17" t="s">
        <v>95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0.90100000000000002</v>
      </c>
      <c r="E16" s="9">
        <v>0.67400000000000004</v>
      </c>
      <c r="F16" s="9">
        <v>0.44700000000000001</v>
      </c>
      <c r="G16" s="9">
        <v>1.446</v>
      </c>
      <c r="H16" s="13">
        <v>0.66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0.84799999999999998</v>
      </c>
      <c r="E17" s="9">
        <v>0.54</v>
      </c>
      <c r="F17" s="9">
        <v>0.22800000000000001</v>
      </c>
      <c r="G17" s="9">
        <v>1.18</v>
      </c>
      <c r="H17" s="13">
        <v>0.48499999999999999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156.4</v>
      </c>
      <c r="E18" s="9">
        <v>156.4</v>
      </c>
      <c r="F18" s="9">
        <v>156.4</v>
      </c>
      <c r="G18" s="9">
        <v>84</v>
      </c>
      <c r="H18" s="13">
        <v>457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300</v>
      </c>
      <c r="E19" s="9">
        <v>300</v>
      </c>
      <c r="F19" s="9">
        <v>300</v>
      </c>
      <c r="G19" s="9">
        <v>-195.4</v>
      </c>
      <c r="H19" s="13">
        <v>496.1</v>
      </c>
    </row>
    <row r="20" spans="1:11" x14ac:dyDescent="0.25">
      <c r="A20" s="12" t="s">
        <v>101</v>
      </c>
      <c r="B20" s="9">
        <v>986.5</v>
      </c>
      <c r="C20" s="9">
        <v>1318</v>
      </c>
      <c r="D20" s="9">
        <v>0</v>
      </c>
      <c r="E20" s="9">
        <v>0</v>
      </c>
      <c r="F20" s="9">
        <v>0</v>
      </c>
      <c r="G20" s="9">
        <v>476.4</v>
      </c>
      <c r="H20" s="13">
        <v>85</v>
      </c>
    </row>
    <row r="21" spans="1:11" x14ac:dyDescent="0.25">
      <c r="A21" s="12" t="s">
        <v>103</v>
      </c>
      <c r="B21" s="9">
        <v>986.5</v>
      </c>
      <c r="C21" s="9">
        <v>1318</v>
      </c>
      <c r="D21" s="9">
        <v>0</v>
      </c>
      <c r="E21" s="9">
        <v>0</v>
      </c>
      <c r="F21" s="9">
        <v>0</v>
      </c>
      <c r="G21" s="9">
        <v>476.4</v>
      </c>
      <c r="H21" s="13">
        <v>85</v>
      </c>
    </row>
    <row r="22" spans="1:11" x14ac:dyDescent="0.25">
      <c r="A22" s="12" t="s">
        <v>102</v>
      </c>
      <c r="B22" s="9">
        <v>986.5</v>
      </c>
      <c r="C22" s="9">
        <v>1318</v>
      </c>
      <c r="D22" s="9">
        <v>0</v>
      </c>
      <c r="E22" s="9">
        <v>0</v>
      </c>
      <c r="F22" s="9">
        <v>0</v>
      </c>
      <c r="G22" s="9">
        <v>476.4</v>
      </c>
      <c r="H22" s="13">
        <v>85</v>
      </c>
    </row>
    <row r="23" spans="1:11" x14ac:dyDescent="0.25">
      <c r="A23" s="12" t="s">
        <v>84</v>
      </c>
      <c r="B23" s="9">
        <v>164.5</v>
      </c>
      <c r="C23" s="9">
        <v>472.5</v>
      </c>
      <c r="D23" s="9">
        <v>26.76</v>
      </c>
      <c r="E23" s="9">
        <v>26.76</v>
      </c>
      <c r="F23" s="9">
        <v>26.76</v>
      </c>
      <c r="G23" s="9">
        <v>0</v>
      </c>
      <c r="H23" s="13">
        <v>42.92</v>
      </c>
    </row>
    <row r="24" spans="1:11" x14ac:dyDescent="0.25">
      <c r="A24" s="12" t="s">
        <v>95</v>
      </c>
      <c r="B24" s="9">
        <v>524.1</v>
      </c>
      <c r="C24" s="9">
        <v>270.60000000000002</v>
      </c>
      <c r="D24" s="9">
        <v>-35.36</v>
      </c>
      <c r="E24" s="9">
        <v>-35.36</v>
      </c>
      <c r="F24" s="9">
        <v>-35.36</v>
      </c>
      <c r="G24" s="9">
        <v>182.6</v>
      </c>
      <c r="H24" s="13">
        <v>0</v>
      </c>
    </row>
    <row r="25" spans="1:11" x14ac:dyDescent="0.25">
      <c r="A25" s="12" t="s">
        <v>134</v>
      </c>
      <c r="B25" s="9">
        <v>2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13">
        <v>0</v>
      </c>
    </row>
    <row r="26" spans="1:11" x14ac:dyDescent="0.25">
      <c r="A26" s="12" t="s">
        <v>135</v>
      </c>
      <c r="B26" s="9">
        <v>0</v>
      </c>
      <c r="C26" s="9">
        <v>1</v>
      </c>
      <c r="D26" s="9">
        <v>0</v>
      </c>
      <c r="E26" s="9">
        <v>0</v>
      </c>
      <c r="F26" s="9">
        <v>0</v>
      </c>
      <c r="G26" s="9">
        <v>0</v>
      </c>
      <c r="H26" s="13">
        <v>0</v>
      </c>
    </row>
    <row r="27" spans="1:11" x14ac:dyDescent="0.25">
      <c r="A27" s="8" t="s">
        <v>136</v>
      </c>
      <c r="B27" s="10">
        <v>0</v>
      </c>
      <c r="C27" s="10">
        <v>0</v>
      </c>
      <c r="D27" s="10">
        <v>3</v>
      </c>
      <c r="E27" s="10">
        <v>2</v>
      </c>
      <c r="F27" s="10">
        <v>1</v>
      </c>
      <c r="G27" s="10">
        <v>1</v>
      </c>
      <c r="H27" s="11">
        <v>1</v>
      </c>
    </row>
    <row r="29" spans="1:11" x14ac:dyDescent="0.25">
      <c r="B29" s="17" t="s">
        <v>123</v>
      </c>
      <c r="I29" s="17" t="s">
        <v>133</v>
      </c>
    </row>
    <row r="30" spans="1:11" x14ac:dyDescent="0.25">
      <c r="A30" s="23" t="s">
        <v>122</v>
      </c>
      <c r="B30" s="12" t="s">
        <v>124</v>
      </c>
      <c r="C30" s="12" t="s">
        <v>125</v>
      </c>
      <c r="D30" s="12" t="s">
        <v>126</v>
      </c>
      <c r="E30" s="12" t="s">
        <v>127</v>
      </c>
      <c r="F30" s="17" t="s">
        <v>128</v>
      </c>
      <c r="H30" s="12" t="s">
        <v>129</v>
      </c>
      <c r="I30" s="12">
        <v>1</v>
      </c>
      <c r="J30" s="12">
        <v>2</v>
      </c>
      <c r="K30" s="17">
        <v>3</v>
      </c>
    </row>
    <row r="31" spans="1:11" x14ac:dyDescent="0.25">
      <c r="A31" s="24"/>
      <c r="B31" s="10">
        <v>333</v>
      </c>
      <c r="C31" s="10">
        <v>1</v>
      </c>
      <c r="D31" s="10">
        <v>0</v>
      </c>
      <c r="E31" s="10">
        <v>0</v>
      </c>
      <c r="F31" s="11">
        <v>1</v>
      </c>
      <c r="H31" s="12" t="s">
        <v>130</v>
      </c>
      <c r="I31" s="9">
        <v>0</v>
      </c>
      <c r="J31" s="9">
        <v>0</v>
      </c>
      <c r="K31" s="13">
        <v>1</v>
      </c>
    </row>
    <row r="32" spans="1:11" x14ac:dyDescent="0.25">
      <c r="H32" s="12" t="s">
        <v>131</v>
      </c>
      <c r="I32" s="9">
        <v>5.2322423799999997</v>
      </c>
      <c r="J32" s="9">
        <v>3.2648102099999998</v>
      </c>
      <c r="K32" s="13">
        <v>0</v>
      </c>
    </row>
    <row r="33" spans="8:11" x14ac:dyDescent="0.25">
      <c r="H33" s="8" t="s">
        <v>132</v>
      </c>
      <c r="I33" s="10">
        <v>187.21213394029053</v>
      </c>
      <c r="J33" s="10">
        <v>26.17514273903517</v>
      </c>
      <c r="K33" s="11">
        <v>1</v>
      </c>
    </row>
    <row r="35" spans="8:11" x14ac:dyDescent="0.25">
      <c r="I35" s="5">
        <f>1/I33</f>
        <v>5.3415341140170981E-3</v>
      </c>
    </row>
  </sheetData>
  <mergeCells count="6">
    <mergeCell ref="A30:A31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2019-04-17T18:18:40Z</dcterms:modified>
</cp:coreProperties>
</file>