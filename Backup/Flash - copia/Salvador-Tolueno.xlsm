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scil\Dropbox\FACU\Termodinamica de reacciones\Software\Flash\"/>
    </mc:Choice>
  </mc:AlternateContent>
  <xr:revisionPtr revIDLastSave="0" documentId="13_ncr:1_{4D73B331-1F69-46A8-B0C1-00CC991BF97E}" xr6:coauthVersionLast="46" xr6:coauthVersionMax="46" xr10:uidLastSave="{00000000-0000-0000-0000-000000000000}"/>
  <bookViews>
    <workbookView xWindow="-110" yWindow="-110" windowWidth="19420" windowHeight="10560" xr2:uid="{00000000-000D-0000-FFFF-FFFF00000000}"/>
  </bookViews>
  <sheets>
    <sheet name="Input" sheetId="1" r:id="rId1"/>
    <sheet name="gruposram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4" i="1" l="1"/>
  <c r="C5" i="1"/>
</calcChain>
</file>

<file path=xl/sharedStrings.xml><?xml version="1.0" encoding="utf-8"?>
<sst xmlns="http://schemas.openxmlformats.org/spreadsheetml/2006/main" count="437" uniqueCount="140">
  <si>
    <t>Path for .exe:</t>
  </si>
  <si>
    <t>C:\Users\jscil\Dropbox\FACU\Termodinamica de reacciones\Software\Flash\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</si>
  <si>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</si>
  <si>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</si>
  <si>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</si>
  <si>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</si>
  <si>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</si>
  <si>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</si>
  <si>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</si>
  <si>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</si>
  <si>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</si>
  <si>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</si>
  <si>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</si>
  <si>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</si>
  <si>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</si>
  <si>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</si>
  <si>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</si>
  <si>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</si>
  <si>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</si>
  <si>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</si>
  <si>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</si>
  <si>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</si>
  <si>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</si>
  <si>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</si>
  <si>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</si>
  <si>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</si>
  <si>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</si>
  <si>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</si>
  <si>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</si>
  <si>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</si>
  <si>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</si>
  <si>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</si>
  <si>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</si>
  <si>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</si>
  <si>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</si>
  <si>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</si>
  <si>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</si>
  <si>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</si>
  <si>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</si>
  <si>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</si>
  <si>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</si>
  <si>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</si>
  <si>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</si>
  <si>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</si>
  <si>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</si>
  <si>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</si>
  <si>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</si>
  <si>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</si>
  <si>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</si>
  <si>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</si>
  <si>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</si>
  <si>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</si>
  <si>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</si>
  <si>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</si>
  <si>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</si>
  <si>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</si>
  <si>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</si>
  <si>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</si>
  <si>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</si>
  <si>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</si>
  <si>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</si>
  <si>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</si>
  <si>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</si>
  <si>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</si>
  <si>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</si>
  <si>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</si>
  <si>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</si>
  <si>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</si>
  <si>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</si>
  <si>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</si>
  <si>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</si>
  <si>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</si>
  <si>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</si>
  <si>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</si>
  <si>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</si>
  <si>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</si>
  <si>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</si>
  <si>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</si>
  <si>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</si>
  <si>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</si>
  <si>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</si>
  <si>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</si>
  <si>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</si>
  <si>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</si>
  <si>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</si>
  <si>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</si>
  <si>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</si>
  <si>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</si>
  <si>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</si>
  <si>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</si>
  <si>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</si>
  <si>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</si>
  <si>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</si>
  <si>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</si>
  <si>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</si>
  <si>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</si>
  <si>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</si>
  <si>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</si>
  <si>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</si>
  <si>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</si>
  <si>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</si>
  <si>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</si>
  <si>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</si>
  <si>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</si>
  <si>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</si>
  <si>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</si>
  <si>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</si>
  <si>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</si>
  <si>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</si>
  <si>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</si>
  <si>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</si>
  <si>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</si>
  <si>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</si>
  <si>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</si>
  <si>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</si>
  <si>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</si>
  <si>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Group</t>
  </si>
  <si>
    <t>Choose</t>
  </si>
  <si>
    <t>-</t>
  </si>
  <si>
    <t>Number of groups</t>
  </si>
  <si>
    <t>r</t>
  </si>
  <si>
    <t>q</t>
  </si>
  <si>
    <t>Flash</t>
  </si>
  <si>
    <t>Conditions</t>
  </si>
  <si>
    <t>T[K]</t>
  </si>
  <si>
    <t>P[atm]</t>
  </si>
  <si>
    <t>z1</t>
  </si>
  <si>
    <t>z2</t>
  </si>
  <si>
    <t>z3</t>
  </si>
  <si>
    <t>Comp.</t>
  </si>
  <si>
    <t>x(i)</t>
  </si>
  <si>
    <t>Ln Gamma</t>
  </si>
  <si>
    <t>Gamma</t>
  </si>
  <si>
    <t>Phase 1</t>
  </si>
  <si>
    <t>H2O2</t>
  </si>
  <si>
    <t>H2O</t>
  </si>
  <si>
    <t>Tolueno</t>
  </si>
  <si>
    <t>Laurico</t>
  </si>
  <si>
    <t>z4</t>
  </si>
  <si>
    <t>Phase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</si>
</sst>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2" fillId="3" borderId="2" xfId="0" applyFont="1" applyFill="1" applyBorder="1" applyAlignment="1" applyProtection="1">
      <alignment horizontal="center" vertical="center"/>
    </xf>
    <xf numFmtId="0" fontId="3" fillId="3" borderId="4" xfId="0" applyFont="1" applyFill="1" applyBorder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3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7" xfId="0" applyFill="1" applyBorder="1" applyProtection="1"/>
    <xf numFmtId="0" fontId="3" fillId="3" borderId="6" xfId="0" applyFont="1" applyFill="1" applyBorder="1" applyProtection="1"/>
    <xf numFmtId="0" fontId="4" fillId="2" borderId="0" xfId="0" applyFont="1" applyFill="1" applyProtection="1"/>
    <xf numFmtId="0" fontId="3" fillId="3" borderId="5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left" vertical="center"/>
    </xf>
    <xf numFmtId="0" fontId="0" fillId="4" borderId="2" xfId="0" applyFill="1" applyBorder="1" applyAlignment="1" applyProtection="1">
      <alignment horizontal="left" vertical="center"/>
    </xf>
    <xf numFmtId="0" fontId="0" fillId="4" borderId="5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7" xfId="0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0</xdr:rowOff>
        </xdr:from>
        <xdr:to>
          <xdr:col>10</xdr:col>
          <xdr:colOff>19050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0</xdr:rowOff>
        </xdr:from>
        <xdr:to>
          <xdr:col>12</xdr:col>
          <xdr:colOff>38100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0</xdr:rowOff>
        </xdr:from>
        <xdr:to>
          <xdr:col>14</xdr:col>
          <xdr:colOff>57150</xdr:colOff>
          <xdr:row>2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0</xdr:rowOff>
        </xdr:from>
        <xdr:to>
          <xdr:col>16</xdr:col>
          <xdr:colOff>66675</xdr:colOff>
          <xdr:row>2</xdr:row>
          <xdr:rowOff>19050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Q36"/>
  <sheetViews>
    <sheetView tabSelected="1" workbookViewId="0">
      <selection activeCell="C15" sqref="C15:E15"/>
    </sheetView>
  </sheetViews>
  <sheetFormatPr baseColWidth="10" defaultColWidth="9.140625" defaultRowHeight="15" x14ac:dyDescent="0.25"/>
  <cols>
    <col min="1" max="1" width="23.28515625" style="5" bestFit="1" customWidth="1"/>
    <col min="2" max="2" width="16.7109375" style="5" customWidth="1"/>
    <col min="3" max="18" width="10.42578125" style="5" customWidth="1"/>
    <col min="19" max="16384" width="9.140625" style="5"/>
  </cols>
  <sheetData>
    <row r="1" spans="1:12" ht="17.45" customHeight="1" thickBot="1" x14ac:dyDescent="0.3">
      <c r="A1" s="7" t="s">
        <v>2</v>
      </c>
      <c r="B1" s="21" t="s">
        <v>3</v>
      </c>
      <c r="C1" s="21"/>
      <c r="D1" s="21"/>
      <c r="E1" s="21"/>
      <c r="F1" s="21"/>
      <c r="G1" s="21"/>
      <c r="H1" s="21"/>
    </row>
    <row r="2" spans="1:12" ht="17.45" customHeight="1" thickBot="1" x14ac:dyDescent="0.3">
      <c r="A2" s="7" t="s">
        <v>0</v>
      </c>
      <c r="B2" s="21" t="s">
        <v>1</v>
      </c>
      <c r="C2" s="21"/>
      <c r="D2" s="21"/>
      <c r="E2" s="21"/>
      <c r="F2" s="21"/>
      <c r="G2" s="21"/>
      <c r="H2" s="21"/>
    </row>
    <row r="3" spans="1:12" x14ac:dyDescent="0.25">
      <c r="A3" s="6"/>
    </row>
    <row r="4" spans="1:12" x14ac:dyDescent="0.25">
      <c r="A4" s="12" t="s">
        <v>113</v>
      </c>
      <c r="B4" s="13" t="s">
        <v>104</v>
      </c>
    </row>
    <row r="5" spans="1:12" x14ac:dyDescent="0.25">
      <c r="A5" s="12" t="s">
        <v>114</v>
      </c>
      <c r="B5" s="13">
        <v>2</v>
      </c>
      <c r="C5" s="5" t="str">
        <f>IF(B5=1,"liq-liq",IF(B5=2,"liq-vapor","Infinity dil."))</f>
        <v>liq-vapor</v>
      </c>
    </row>
    <row r="6" spans="1:12" x14ac:dyDescent="0.25">
      <c r="A6" s="8" t="s">
        <v>115</v>
      </c>
      <c r="B6" s="11">
        <v>4</v>
      </c>
    </row>
    <row r="8" spans="1:12" x14ac:dyDescent="0.25">
      <c r="A8" s="22" t="s">
        <v>134</v>
      </c>
      <c r="B8" s="14" t="s">
        <v>116</v>
      </c>
      <c r="C8" s="14" t="s">
        <v>89</v>
      </c>
      <c r="D8" s="14" t="s">
        <v>117</v>
      </c>
      <c r="E8" s="14" t="s">
        <v>117</v>
      </c>
      <c r="F8" s="14" t="s">
        <v>117</v>
      </c>
      <c r="G8" s="14" t="s">
        <v>117</v>
      </c>
      <c r="H8" s="14" t="s">
        <v>117</v>
      </c>
      <c r="I8" s="14" t="s">
        <v>117</v>
      </c>
      <c r="J8" s="14" t="s">
        <v>117</v>
      </c>
      <c r="K8" s="14" t="s">
        <v>117</v>
      </c>
      <c r="L8" s="14" t="s">
        <v>117</v>
      </c>
    </row>
    <row r="9" spans="1:12" x14ac:dyDescent="0.25">
      <c r="A9" s="23"/>
      <c r="B9" s="15" t="s">
        <v>119</v>
      </c>
      <c r="C9" s="15">
        <v>2</v>
      </c>
      <c r="D9" s="15" t="s">
        <v>118</v>
      </c>
      <c r="E9" s="15" t="s">
        <v>118</v>
      </c>
      <c r="F9" s="15" t="s">
        <v>118</v>
      </c>
      <c r="G9" s="15" t="s">
        <v>118</v>
      </c>
      <c r="H9" s="15" t="s">
        <v>118</v>
      </c>
      <c r="I9" s="15" t="s">
        <v>118</v>
      </c>
      <c r="J9" s="15" t="s">
        <v>118</v>
      </c>
      <c r="K9" s="15" t="s">
        <v>118</v>
      </c>
      <c r="L9" s="15" t="s">
        <v>118</v>
      </c>
    </row>
    <row r="10" spans="1:12" x14ac:dyDescent="0.25">
      <c r="A10" s="22" t="s">
        <v>135</v>
      </c>
      <c r="B10" s="14" t="s">
        <v>116</v>
      </c>
      <c r="C10" s="14" t="s">
        <v>87</v>
      </c>
      <c r="D10" s="14" t="s">
        <v>117</v>
      </c>
      <c r="E10" s="14" t="s">
        <v>117</v>
      </c>
      <c r="F10" s="14" t="s">
        <v>117</v>
      </c>
      <c r="G10" s="14" t="s">
        <v>117</v>
      </c>
      <c r="H10" s="14" t="s">
        <v>117</v>
      </c>
      <c r="I10" s="14" t="s">
        <v>117</v>
      </c>
      <c r="J10" s="14" t="s">
        <v>117</v>
      </c>
      <c r="K10" s="14" t="s">
        <v>117</v>
      </c>
      <c r="L10" s="14" t="s">
        <v>117</v>
      </c>
    </row>
    <row r="11" spans="1:12" x14ac:dyDescent="0.25">
      <c r="A11" s="23"/>
      <c r="B11" s="15" t="s">
        <v>119</v>
      </c>
      <c r="C11" s="15">
        <v>1</v>
      </c>
      <c r="D11" s="15" t="s">
        <v>118</v>
      </c>
      <c r="E11" s="15" t="s">
        <v>118</v>
      </c>
      <c r="F11" s="15" t="s">
        <v>118</v>
      </c>
      <c r="G11" s="15" t="s">
        <v>118</v>
      </c>
      <c r="H11" s="15" t="s">
        <v>118</v>
      </c>
      <c r="I11" s="15" t="s">
        <v>118</v>
      </c>
      <c r="J11" s="15" t="s">
        <v>118</v>
      </c>
      <c r="K11" s="15" t="s">
        <v>118</v>
      </c>
      <c r="L11" s="15" t="s">
        <v>118</v>
      </c>
    </row>
    <row r="12" spans="1:12" x14ac:dyDescent="0.25">
      <c r="A12" s="22" t="s">
        <v>136</v>
      </c>
      <c r="B12" s="14" t="s">
        <v>116</v>
      </c>
      <c r="C12" s="14" t="s">
        <v>94</v>
      </c>
      <c r="D12" s="14" t="s">
        <v>91</v>
      </c>
      <c r="E12" s="14" t="s">
        <v>117</v>
      </c>
      <c r="F12" s="14" t="s">
        <v>117</v>
      </c>
      <c r="G12" s="14" t="s">
        <v>117</v>
      </c>
      <c r="H12" s="14" t="s">
        <v>117</v>
      </c>
      <c r="I12" s="14" t="s">
        <v>117</v>
      </c>
      <c r="J12" s="14" t="s">
        <v>117</v>
      </c>
      <c r="K12" s="14" t="s">
        <v>117</v>
      </c>
      <c r="L12" s="14" t="s">
        <v>117</v>
      </c>
    </row>
    <row r="13" spans="1:12" x14ac:dyDescent="0.25">
      <c r="A13" s="23"/>
      <c r="B13" s="15" t="s">
        <v>119</v>
      </c>
      <c r="C13" s="15">
        <v>5</v>
      </c>
      <c r="D13" s="15">
        <v>1</v>
      </c>
      <c r="E13" s="15" t="s">
        <v>118</v>
      </c>
      <c r="F13" s="15" t="s">
        <v>118</v>
      </c>
      <c r="G13" s="15" t="s">
        <v>118</v>
      </c>
      <c r="H13" s="15" t="s">
        <v>118</v>
      </c>
      <c r="I13" s="15" t="s">
        <v>118</v>
      </c>
      <c r="J13" s="15" t="s">
        <v>118</v>
      </c>
      <c r="K13" s="15" t="s">
        <v>118</v>
      </c>
      <c r="L13" s="15" t="s">
        <v>118</v>
      </c>
    </row>
    <row r="14" spans="1:12" x14ac:dyDescent="0.25">
      <c r="A14" s="22" t="s">
        <v>137</v>
      </c>
      <c r="B14" s="14" t="s">
        <v>116</v>
      </c>
      <c r="C14" s="14" t="s">
        <v>101</v>
      </c>
      <c r="D14" s="14" t="s">
        <v>103</v>
      </c>
      <c r="E14" s="14" t="s">
        <v>61</v>
      </c>
      <c r="F14" s="14" t="s">
        <v>117</v>
      </c>
      <c r="G14" s="14" t="s">
        <v>117</v>
      </c>
      <c r="H14" s="14" t="s">
        <v>117</v>
      </c>
      <c r="I14" s="14" t="s">
        <v>117</v>
      </c>
      <c r="J14" s="14" t="s">
        <v>117</v>
      </c>
      <c r="K14" s="14" t="s">
        <v>117</v>
      </c>
      <c r="L14" s="14" t="s">
        <v>117</v>
      </c>
    </row>
    <row r="15" spans="1:12" x14ac:dyDescent="0.25">
      <c r="A15" s="24"/>
      <c r="B15" s="16" t="s">
        <v>119</v>
      </c>
      <c r="C15" s="16">
        <v>1</v>
      </c>
      <c r="D15" s="16">
        <v>10</v>
      </c>
      <c r="E15" s="16">
        <v>1</v>
      </c>
      <c r="F15" s="16" t="s">
        <v>118</v>
      </c>
      <c r="G15" s="16" t="s">
        <v>118</v>
      </c>
      <c r="H15" s="16" t="s">
        <v>118</v>
      </c>
      <c r="I15" s="16" t="s">
        <v>118</v>
      </c>
      <c r="J15" s="16" t="s">
        <v>118</v>
      </c>
      <c r="K15" s="16" t="s">
        <v>118</v>
      </c>
      <c r="L15" s="16" t="s">
        <v>118</v>
      </c>
    </row>
    <row r="17" spans="1:14" x14ac:dyDescent="0.25">
      <c r="A17" s="18">
        <v>7</v>
      </c>
      <c r="B17" s="12" t="s">
        <v>89</v>
      </c>
      <c r="C17" s="12" t="s">
        <v>87</v>
      </c>
      <c r="D17" s="12" t="s">
        <v>94</v>
      </c>
      <c r="E17" s="12" t="s">
        <v>91</v>
      </c>
      <c r="F17" s="12" t="s">
        <v>101</v>
      </c>
      <c r="G17" s="12" t="s">
        <v>103</v>
      </c>
      <c r="H17" s="17" t="s">
        <v>61</v>
      </c>
    </row>
    <row r="18" spans="1:14" x14ac:dyDescent="0.25">
      <c r="A18" s="12" t="s">
        <v>120</v>
      </c>
      <c r="B18" s="9">
        <v>1</v>
      </c>
      <c r="C18" s="9">
        <v>0.92</v>
      </c>
      <c r="D18" s="9">
        <v>0.53100000000000003</v>
      </c>
      <c r="E18" s="9">
        <v>1.266</v>
      </c>
      <c r="F18" s="9">
        <v>0.90100000000000002</v>
      </c>
      <c r="G18" s="9">
        <v>0.67400000000000004</v>
      </c>
      <c r="H18" s="13">
        <v>1.3009999999999999</v>
      </c>
    </row>
    <row r="19" spans="1:14" x14ac:dyDescent="0.25">
      <c r="A19" s="12" t="s">
        <v>121</v>
      </c>
      <c r="B19" s="9">
        <v>1.2</v>
      </c>
      <c r="C19" s="9">
        <v>1.4</v>
      </c>
      <c r="D19" s="9">
        <v>0.4</v>
      </c>
      <c r="E19" s="9">
        <v>0.96799999999999997</v>
      </c>
      <c r="F19" s="9">
        <v>0.84799999999999998</v>
      </c>
      <c r="G19" s="9">
        <v>0.54</v>
      </c>
      <c r="H19" s="13">
        <v>1.224</v>
      </c>
    </row>
    <row r="20" spans="1:14" x14ac:dyDescent="0.25">
      <c r="A20" s="12" t="s">
        <v>89</v>
      </c>
      <c r="B20" s="9">
        <v>0</v>
      </c>
      <c r="C20" s="9">
        <v>353.5</v>
      </c>
      <c r="D20" s="9">
        <v>89.6</v>
      </c>
      <c r="E20" s="9">
        <v>25.82</v>
      </c>
      <c r="F20" s="9">
        <v>156.4</v>
      </c>
      <c r="G20" s="9">
        <v>156.4</v>
      </c>
      <c r="H20" s="13">
        <v>199</v>
      </c>
    </row>
    <row r="21" spans="1:14" x14ac:dyDescent="0.25">
      <c r="A21" s="12" t="s">
        <v>87</v>
      </c>
      <c r="B21" s="9">
        <v>-229.1</v>
      </c>
      <c r="C21" s="9">
        <v>0</v>
      </c>
      <c r="D21" s="9">
        <v>362.3</v>
      </c>
      <c r="E21" s="9">
        <v>377.6</v>
      </c>
      <c r="F21" s="9">
        <v>300</v>
      </c>
      <c r="G21" s="9">
        <v>300</v>
      </c>
      <c r="H21" s="13">
        <v>-14.09</v>
      </c>
    </row>
    <row r="22" spans="1:14" x14ac:dyDescent="0.25">
      <c r="A22" s="12" t="s">
        <v>94</v>
      </c>
      <c r="B22" s="9">
        <v>636.1</v>
      </c>
      <c r="C22" s="9">
        <v>903.8</v>
      </c>
      <c r="D22" s="9">
        <v>0</v>
      </c>
      <c r="E22" s="9">
        <v>167</v>
      </c>
      <c r="F22" s="9">
        <v>-11.12</v>
      </c>
      <c r="G22" s="9">
        <v>-11.12</v>
      </c>
      <c r="H22" s="13">
        <v>537.4</v>
      </c>
    </row>
    <row r="23" spans="1:14" x14ac:dyDescent="0.25">
      <c r="A23" s="12" t="s">
        <v>91</v>
      </c>
      <c r="B23" s="9">
        <v>803.2</v>
      </c>
      <c r="C23" s="9">
        <v>5695</v>
      </c>
      <c r="D23" s="9">
        <v>-146.80000000000001</v>
      </c>
      <c r="E23" s="9">
        <v>0</v>
      </c>
      <c r="F23" s="9">
        <v>-69.7</v>
      </c>
      <c r="G23" s="9">
        <v>-69.7</v>
      </c>
      <c r="H23" s="13">
        <v>872.3</v>
      </c>
    </row>
    <row r="24" spans="1:14" x14ac:dyDescent="0.25">
      <c r="A24" s="12" t="s">
        <v>101</v>
      </c>
      <c r="B24" s="9">
        <v>986.5</v>
      </c>
      <c r="C24" s="9">
        <v>1318</v>
      </c>
      <c r="D24" s="9">
        <v>61.13</v>
      </c>
      <c r="E24" s="9">
        <v>76.5</v>
      </c>
      <c r="F24" s="9">
        <v>0</v>
      </c>
      <c r="G24" s="9">
        <v>0</v>
      </c>
      <c r="H24" s="13">
        <v>663.5</v>
      </c>
    </row>
    <row r="25" spans="1:14" x14ac:dyDescent="0.25">
      <c r="A25" s="12" t="s">
        <v>103</v>
      </c>
      <c r="B25" s="9">
        <v>986.5</v>
      </c>
      <c r="C25" s="9">
        <v>1318</v>
      </c>
      <c r="D25" s="9">
        <v>61.13</v>
      </c>
      <c r="E25" s="9">
        <v>76.5</v>
      </c>
      <c r="F25" s="9">
        <v>0</v>
      </c>
      <c r="G25" s="9">
        <v>0</v>
      </c>
      <c r="H25" s="13">
        <v>663.5</v>
      </c>
    </row>
    <row r="26" spans="1:14" x14ac:dyDescent="0.25">
      <c r="A26" s="12" t="s">
        <v>61</v>
      </c>
      <c r="B26" s="9">
        <v>-151</v>
      </c>
      <c r="C26" s="9">
        <v>-66.17</v>
      </c>
      <c r="D26" s="9">
        <v>62.32</v>
      </c>
      <c r="E26" s="9">
        <v>89.86</v>
      </c>
      <c r="F26" s="9">
        <v>315.3</v>
      </c>
      <c r="G26" s="9">
        <v>315.3</v>
      </c>
      <c r="H26" s="13">
        <v>0</v>
      </c>
    </row>
    <row r="27" spans="1:14" x14ac:dyDescent="0.25">
      <c r="A27" s="12" t="s">
        <v>134</v>
      </c>
      <c r="B27" s="9">
        <v>2</v>
      </c>
      <c r="C27" s="9">
        <v>0</v>
      </c>
      <c r="D27" s="9">
        <v>0</v>
      </c>
      <c r="E27" s="9">
        <v>0</v>
      </c>
      <c r="F27" s="9">
        <v>0</v>
      </c>
      <c r="G27" s="9">
        <v>0</v>
      </c>
      <c r="H27" s="13">
        <v>0</v>
      </c>
    </row>
    <row r="28" spans="1:14" x14ac:dyDescent="0.25">
      <c r="A28" s="12" t="s">
        <v>135</v>
      </c>
      <c r="B28" s="9">
        <v>0</v>
      </c>
      <c r="C28" s="9">
        <v>1</v>
      </c>
      <c r="D28" s="9">
        <v>0</v>
      </c>
      <c r="E28" s="9">
        <v>0</v>
      </c>
      <c r="F28" s="9">
        <v>0</v>
      </c>
      <c r="G28" s="9">
        <v>0</v>
      </c>
      <c r="H28" s="13">
        <v>0</v>
      </c>
    </row>
    <row r="29" spans="1:14" x14ac:dyDescent="0.25">
      <c r="A29" s="12" t="s">
        <v>136</v>
      </c>
      <c r="B29" s="9">
        <v>0</v>
      </c>
      <c r="C29" s="9">
        <v>0</v>
      </c>
      <c r="D29" s="9">
        <v>5</v>
      </c>
      <c r="E29" s="9">
        <v>1</v>
      </c>
      <c r="F29" s="9">
        <v>0</v>
      </c>
      <c r="G29" s="9">
        <v>0</v>
      </c>
      <c r="H29" s="13">
        <v>0</v>
      </c>
    </row>
    <row r="30" spans="1:14" x14ac:dyDescent="0.25">
      <c r="A30" s="8" t="s">
        <v>137</v>
      </c>
      <c r="B30" s="10">
        <v>0</v>
      </c>
      <c r="C30" s="10">
        <v>0</v>
      </c>
      <c r="D30" s="10">
        <v>0</v>
      </c>
      <c r="E30" s="10">
        <v>0</v>
      </c>
      <c r="F30" s="10">
        <v>1</v>
      </c>
      <c r="G30" s="10">
        <v>10</v>
      </c>
      <c r="H30" s="11">
        <v>1</v>
      </c>
    </row>
    <row r="32" spans="1:14" x14ac:dyDescent="0.25">
      <c r="B32" s="17" t="s">
        <v>123</v>
      </c>
      <c r="J32" s="17" t="s">
        <v>133</v>
      </c>
      <c r="N32" s="17" t="s">
        <v>139</v>
      </c>
    </row>
    <row r="33" spans="1:17" x14ac:dyDescent="0.25">
      <c r="A33" s="19" t="s">
        <v>122</v>
      </c>
      <c r="B33" s="12" t="s">
        <v>124</v>
      </c>
      <c r="C33" s="12" t="s">
        <v>125</v>
      </c>
      <c r="D33" s="12" t="s">
        <v>126</v>
      </c>
      <c r="E33" s="12" t="s">
        <v>127</v>
      </c>
      <c r="F33" s="12" t="s">
        <v>128</v>
      </c>
      <c r="G33" s="17" t="s">
        <v>138</v>
      </c>
      <c r="I33" s="12" t="s">
        <v>129</v>
      </c>
      <c r="J33" s="12">
        <v>1</v>
      </c>
      <c r="K33" s="12">
        <v>2</v>
      </c>
      <c r="L33" s="12">
        <v>3</v>
      </c>
      <c r="M33" s="12">
        <v>4</v>
      </c>
      <c r="N33" s="12">
        <v>1</v>
      </c>
      <c r="O33" s="12">
        <v>2</v>
      </c>
      <c r="P33" s="12">
        <v>3</v>
      </c>
      <c r="Q33" s="17">
        <v>4</v>
      </c>
    </row>
    <row r="34" spans="1:17" x14ac:dyDescent="0.25">
      <c r="A34" s="20"/>
      <c r="B34" s="10">
        <f>23+273.15</f>
        <v>296.14999999999998</v>
      </c>
      <c r="C34" s="10">
        <v>1</v>
      </c>
      <c r="D34" s="10">
        <v>0.12410921257884157</v>
      </c>
      <c r="E34" s="10">
        <v>0.64926991053196026</v>
      </c>
      <c r="F34" s="10">
        <v>0.22662087688919816</v>
      </c>
      <c r="G34" s="11">
        <v>1.2079197268436016E-2</v>
      </c>
      <c r="I34" s="12" t="s">
        <v>130</v>
      </c>
      <c r="J34" s="9">
        <v>2.9043E-4</v>
      </c>
      <c r="K34" s="9">
        <v>3.45072E-3</v>
      </c>
      <c r="L34" s="9">
        <v>0.94578709999999999</v>
      </c>
      <c r="M34" s="9">
        <v>5.0471750000000003E-2</v>
      </c>
      <c r="N34" s="9">
        <v>0.16051656</v>
      </c>
      <c r="O34" s="9">
        <v>0.83913459999999995</v>
      </c>
      <c r="P34" s="9">
        <v>3.4884E-4</v>
      </c>
      <c r="Q34" s="13">
        <v>0</v>
      </c>
    </row>
    <row r="35" spans="1:17" x14ac:dyDescent="0.25">
      <c r="I35" s="12" t="s">
        <v>131</v>
      </c>
      <c r="J35" s="9">
        <v>6.1876270699999996</v>
      </c>
      <c r="K35" s="9">
        <v>5.4863926699999999</v>
      </c>
      <c r="L35" s="9">
        <v>7.0484700000000003E-3</v>
      </c>
      <c r="M35" s="9">
        <v>0.29455873999999999</v>
      </c>
      <c r="N35" s="9">
        <v>-0.12717321000000001</v>
      </c>
      <c r="O35" s="9">
        <v>-7.39523E-3</v>
      </c>
      <c r="P35" s="9">
        <v>7.9122148699999997</v>
      </c>
      <c r="Q35" s="13">
        <v>16.977312829999999</v>
      </c>
    </row>
    <row r="36" spans="1:17" x14ac:dyDescent="0.25">
      <c r="I36" s="8" t="s">
        <v>132</v>
      </c>
      <c r="J36" s="10">
        <v>486.68985394901654</v>
      </c>
      <c r="K36" s="10">
        <v>241.38487950021658</v>
      </c>
      <c r="L36" s="10">
        <v>1.0070733689300804</v>
      </c>
      <c r="M36" s="10">
        <v>1.3425338214903388</v>
      </c>
      <c r="N36" s="10">
        <v>0.88058113392871917</v>
      </c>
      <c r="O36" s="10">
        <v>0.99263204743099964</v>
      </c>
      <c r="P36" s="10">
        <v>2730.4313244411273</v>
      </c>
      <c r="Q36" s="11">
        <v>23613114.858806372</v>
      </c>
    </row>
  </sheetData>
  <mergeCells count="7">
    <mergeCell ref="A33:A34"/>
    <mergeCell ref="B1:H1"/>
    <mergeCell ref="B2:H2"/>
    <mergeCell ref="A8:A9"/>
    <mergeCell ref="A10:A11"/>
    <mergeCell ref="A12:A13"/>
    <mergeCell ref="A14:A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10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47625</xdr:colOff>
                    <xdr:row>0</xdr:row>
                    <xdr:rowOff>0</xdr:rowOff>
                  </from>
                  <to>
                    <xdr:col>14</xdr:col>
                    <xdr:colOff>57150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57150</xdr:colOff>
                    <xdr:row>0</xdr:row>
                    <xdr:rowOff>0</xdr:rowOff>
                  </from>
                  <to>
                    <xdr:col>16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111D7D3-D742-49B6-9175-062E831BCD27}">
          <x14:formula1>
            <xm:f>gruposram!$D$3:$D$4</xm:f>
          </x14:formula1>
          <xm:sqref>B4</xm:sqref>
        </x14:dataValidation>
        <x14:dataValidation type="list" allowBlank="1" showInputMessage="1" showErrorMessage="1" xr:uid="{212D423C-1098-41E3-92CD-40AC0B1C183D}">
          <x14:formula1>
            <xm:f>gruposram!$E$3:$E$5</xm:f>
          </x14:formula1>
          <xm:sqref>B5</xm:sqref>
        </x14:dataValidation>
        <x14:dataValidation type="list" allowBlank="1" showInputMessage="1" showErrorMessage="1" xr:uid="{E543D033-B4CE-46ED-B670-BF4DD1BFE77A}">
          <x14:formula1>
            <xm:f>gruposram!$B$1:$B$101</xm:f>
          </x14:formula1>
          <xm:sqref>C8:L8 C10:L10 C12:L12 C14:L14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W103"/>
  <sheetViews>
    <sheetView workbookViewId="0">
      <selection activeCell="D3" sqref="D3"/>
    </sheetView>
  </sheetViews>
  <sheetFormatPr baseColWidth="10" defaultColWidth="11.5703125" defaultRowHeight="15" x14ac:dyDescent="0.25"/>
  <cols>
    <col min="1" max="3" width="9.85546875" bestFit="1" customWidth="1"/>
    <col min="4" max="4" width="28.5703125" customWidth="1"/>
    <col min="5" max="5" width="10.85546875" bestFit="1" customWidth="1"/>
    <col min="6" max="6" width="2" bestFit="1" customWidth="1"/>
    <col min="7" max="7" width="2.140625" bestFit="1" customWidth="1"/>
    <col min="8" max="8" width="2" bestFit="1" customWidth="1"/>
    <col min="9" max="9" width="2.28515625" bestFit="1" customWidth="1"/>
    <col min="10" max="15" width="14.85546875" bestFit="1" customWidth="1"/>
    <col min="16" max="16" width="15.5703125" bestFit="1" customWidth="1"/>
    <col min="17" max="18" width="14.85546875" bestFit="1" customWidth="1"/>
    <col min="19" max="23" width="3.85546875" bestFit="1" customWidth="1"/>
  </cols>
  <sheetData>
    <row r="1" spans="1:23" x14ac:dyDescent="0.25">
      <c r="A1" t="s">
        <v>108</v>
      </c>
      <c r="B1" t="s">
        <v>109</v>
      </c>
      <c r="C1" t="s">
        <v>107</v>
      </c>
      <c r="D1" t="s">
        <v>111</v>
      </c>
      <c r="E1" t="s">
        <v>112</v>
      </c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25">
      <c r="A3" s="4" t="s">
        <v>101</v>
      </c>
      <c r="B3" s="1" t="s">
        <v>101</v>
      </c>
      <c r="C3" s="1" t="s">
        <v>101</v>
      </c>
      <c r="D3" s="1" t="s">
        <v>104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4" t="s">
        <v>103</v>
      </c>
      <c r="B4" s="1" t="s">
        <v>103</v>
      </c>
      <c r="C4" s="1" t="s">
        <v>103</v>
      </c>
      <c r="D4" s="1" t="s">
        <v>110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4" t="s">
        <v>102</v>
      </c>
      <c r="B5" s="1" t="s">
        <v>102</v>
      </c>
      <c r="C5" s="1" t="s">
        <v>102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4" t="s">
        <v>100</v>
      </c>
      <c r="B6" s="1" t="s">
        <v>100</v>
      </c>
      <c r="C6" s="1" t="s">
        <v>100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4" t="s">
        <v>96</v>
      </c>
      <c r="B7" s="1" t="s">
        <v>96</v>
      </c>
      <c r="C7" s="1" t="s">
        <v>96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4" t="s">
        <v>99</v>
      </c>
      <c r="B8" s="1" t="s">
        <v>99</v>
      </c>
      <c r="C8" s="1" t="s">
        <v>99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A9" s="4" t="s">
        <v>97</v>
      </c>
      <c r="B9" s="1" t="s">
        <v>98</v>
      </c>
      <c r="C9" s="1" t="s">
        <v>98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4" t="s">
        <v>98</v>
      </c>
      <c r="B10" s="1" t="s">
        <v>97</v>
      </c>
      <c r="C10" s="1" t="s">
        <v>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4" t="s">
        <v>94</v>
      </c>
      <c r="B11" s="1" t="s">
        <v>95</v>
      </c>
      <c r="C11" s="1" t="s">
        <v>95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4" t="s">
        <v>93</v>
      </c>
      <c r="B12" s="1" t="s">
        <v>94</v>
      </c>
      <c r="C12" s="1" t="s">
        <v>94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4" t="s">
        <v>91</v>
      </c>
      <c r="B13" s="1" t="s">
        <v>93</v>
      </c>
      <c r="C13" s="1" t="s">
        <v>93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4" t="s">
        <v>92</v>
      </c>
      <c r="B14" s="1" t="s">
        <v>91</v>
      </c>
      <c r="C14" s="1" t="s">
        <v>91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A15" s="4" t="s">
        <v>90</v>
      </c>
      <c r="B15" s="1" t="s">
        <v>92</v>
      </c>
      <c r="C15" s="1" t="s">
        <v>92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4" t="s">
        <v>89</v>
      </c>
      <c r="B16" s="1" t="s">
        <v>90</v>
      </c>
      <c r="C16" s="1" t="s">
        <v>90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4" t="s">
        <v>18</v>
      </c>
      <c r="B17" s="1" t="s">
        <v>89</v>
      </c>
      <c r="C17" s="1" t="s">
        <v>89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4" t="s">
        <v>17</v>
      </c>
      <c r="B18" s="1" t="s">
        <v>88</v>
      </c>
      <c r="C18" s="1" t="s">
        <v>88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4" t="s">
        <v>87</v>
      </c>
      <c r="B19" s="1" t="s">
        <v>87</v>
      </c>
      <c r="C19" s="1" t="s">
        <v>87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4" t="s">
        <v>86</v>
      </c>
      <c r="B20" s="1" t="s">
        <v>86</v>
      </c>
      <c r="C20" s="1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4" t="s">
        <v>85</v>
      </c>
      <c r="B21" s="1" t="s">
        <v>85</v>
      </c>
      <c r="C21" s="1" t="s">
        <v>85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4" t="s">
        <v>84</v>
      </c>
      <c r="B22" s="1" t="s">
        <v>84</v>
      </c>
      <c r="C22" s="1" t="s">
        <v>84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4" t="s">
        <v>83</v>
      </c>
      <c r="B23" s="1" t="s">
        <v>83</v>
      </c>
      <c r="C23" s="1" t="s">
        <v>83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4" t="s">
        <v>42</v>
      </c>
      <c r="B24" s="1" t="s">
        <v>82</v>
      </c>
      <c r="C24" s="1" t="s">
        <v>82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4" t="s">
        <v>61</v>
      </c>
      <c r="B25" s="1" t="s">
        <v>81</v>
      </c>
      <c r="C25" s="1" t="s">
        <v>81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4" t="s">
        <v>60</v>
      </c>
      <c r="B26" s="1" t="s">
        <v>80</v>
      </c>
      <c r="C26" s="1" t="s">
        <v>80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4" t="s">
        <v>82</v>
      </c>
      <c r="B27" s="1" t="s">
        <v>77</v>
      </c>
      <c r="C27" s="1" t="s">
        <v>77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4" t="s">
        <v>81</v>
      </c>
      <c r="B28" s="1" t="s">
        <v>79</v>
      </c>
      <c r="C28" s="1" t="s">
        <v>79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4" t="s">
        <v>77</v>
      </c>
      <c r="B29" s="1" t="s">
        <v>78</v>
      </c>
      <c r="C29" s="1" t="s">
        <v>78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4" t="s">
        <v>79</v>
      </c>
      <c r="B30" s="1" t="s">
        <v>76</v>
      </c>
      <c r="C30" s="1" t="s">
        <v>76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4" t="s">
        <v>78</v>
      </c>
      <c r="B31" s="1" t="s">
        <v>74</v>
      </c>
      <c r="C31" s="1" t="s">
        <v>74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4" t="s">
        <v>76</v>
      </c>
      <c r="B32" s="1" t="s">
        <v>75</v>
      </c>
      <c r="C32" s="1" t="s">
        <v>75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4" t="s">
        <v>58</v>
      </c>
      <c r="B33" s="1" t="s">
        <v>73</v>
      </c>
      <c r="C33" s="1" t="s">
        <v>73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4" t="s">
        <v>59</v>
      </c>
      <c r="B34" s="1" t="s">
        <v>71</v>
      </c>
      <c r="C34" s="1" t="s">
        <v>69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4" t="s">
        <v>57</v>
      </c>
      <c r="B35" s="1" t="s">
        <v>72</v>
      </c>
      <c r="C35" s="1" t="s">
        <v>68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4" t="s">
        <v>55</v>
      </c>
      <c r="B36" s="1" t="s">
        <v>70</v>
      </c>
      <c r="C36" s="1" t="s">
        <v>67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4" t="s">
        <v>56</v>
      </c>
      <c r="B37" s="1" t="s">
        <v>69</v>
      </c>
      <c r="C37" s="1" t="s">
        <v>65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4" t="s">
        <v>54</v>
      </c>
      <c r="B38" s="1" t="s">
        <v>68</v>
      </c>
      <c r="C38" s="1" t="s">
        <v>66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4" t="s">
        <v>53</v>
      </c>
      <c r="B39" s="1" t="s">
        <v>67</v>
      </c>
      <c r="C39" s="1" t="s">
        <v>64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4" t="s">
        <v>52</v>
      </c>
      <c r="B40" s="1" t="s">
        <v>65</v>
      </c>
      <c r="C40" s="1" t="s">
        <v>5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4" t="s">
        <v>51</v>
      </c>
      <c r="B41" s="1" t="s">
        <v>66</v>
      </c>
      <c r="C41" s="1" t="s">
        <v>63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4" t="s">
        <v>50</v>
      </c>
      <c r="B42" s="1" t="s">
        <v>64</v>
      </c>
      <c r="C42" s="1" t="s">
        <v>62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4" t="s">
        <v>63</v>
      </c>
      <c r="B43" s="1" t="s">
        <v>63</v>
      </c>
      <c r="C43" s="1" t="s">
        <v>58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4" t="s">
        <v>62</v>
      </c>
      <c r="B44" s="1" t="s">
        <v>62</v>
      </c>
      <c r="C44" s="1" t="s">
        <v>59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4" t="s">
        <v>67</v>
      </c>
      <c r="B45" s="1" t="s">
        <v>61</v>
      </c>
      <c r="C45" s="1" t="s">
        <v>57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4" t="s">
        <v>48</v>
      </c>
      <c r="B46" s="1" t="s">
        <v>60</v>
      </c>
      <c r="C46" s="1" t="s">
        <v>55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4" t="s">
        <v>49</v>
      </c>
      <c r="B47" s="1" t="s">
        <v>58</v>
      </c>
      <c r="C47" s="1" t="s">
        <v>56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4" t="s">
        <v>47</v>
      </c>
      <c r="B48" s="1" t="s">
        <v>59</v>
      </c>
      <c r="C48" s="1" t="s">
        <v>54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4" t="s">
        <v>46</v>
      </c>
      <c r="B49" s="1" t="s">
        <v>57</v>
      </c>
      <c r="C49" s="1" t="s">
        <v>53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5">
      <c r="A50" s="4" t="s">
        <v>41</v>
      </c>
      <c r="B50" s="1" t="s">
        <v>55</v>
      </c>
      <c r="C50" s="1" t="s">
        <v>52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4" t="s">
        <v>16</v>
      </c>
      <c r="B51" s="1" t="s">
        <v>56</v>
      </c>
      <c r="C51" s="1" t="s">
        <v>51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5">
      <c r="A52" s="4" t="s">
        <v>65</v>
      </c>
      <c r="B52" s="1" t="s">
        <v>54</v>
      </c>
      <c r="C52" s="1" t="s">
        <v>50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4" t="s">
        <v>66</v>
      </c>
      <c r="B53" s="1" t="s">
        <v>53</v>
      </c>
      <c r="C53" s="1" t="s">
        <v>48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4" t="s">
        <v>64</v>
      </c>
      <c r="B54" s="1" t="s">
        <v>52</v>
      </c>
      <c r="C54" s="1" t="s">
        <v>49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5">
      <c r="A55" s="4" t="s">
        <v>15</v>
      </c>
      <c r="B55" s="1" t="s">
        <v>51</v>
      </c>
      <c r="C55" s="1" t="s">
        <v>47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5">
      <c r="A56" s="4" t="s">
        <v>14</v>
      </c>
      <c r="B56" s="1" t="s">
        <v>50</v>
      </c>
      <c r="C56" s="1" t="s">
        <v>4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5">
      <c r="A57" s="4" t="s">
        <v>32</v>
      </c>
      <c r="B57" s="1" t="s">
        <v>48</v>
      </c>
      <c r="C57" s="1" t="s">
        <v>46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5">
      <c r="A58" s="4" t="s">
        <v>13</v>
      </c>
      <c r="B58" s="1" t="s">
        <v>49</v>
      </c>
      <c r="C58" s="1" t="s">
        <v>42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5">
      <c r="A59" s="4" t="s">
        <v>36</v>
      </c>
      <c r="B59" s="1" t="s">
        <v>47</v>
      </c>
      <c r="C59" s="1" t="s">
        <v>41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5">
      <c r="A60" s="4" t="s">
        <v>105</v>
      </c>
      <c r="B60" s="1" t="s">
        <v>46</v>
      </c>
      <c r="C60" s="1" t="s">
        <v>40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5">
      <c r="A61" s="1" t="s">
        <v>106</v>
      </c>
      <c r="B61" s="1" t="s">
        <v>45</v>
      </c>
      <c r="C61" s="1" t="s">
        <v>39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 t="s">
        <v>106</v>
      </c>
      <c r="B62" s="1" t="s">
        <v>44</v>
      </c>
      <c r="C62" s="1" t="s">
        <v>36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 t="s">
        <v>106</v>
      </c>
      <c r="B63" s="1" t="s">
        <v>43</v>
      </c>
      <c r="C63" s="1" t="s">
        <v>34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 t="s">
        <v>106</v>
      </c>
      <c r="B64" s="1" t="s">
        <v>42</v>
      </c>
      <c r="C64" s="1" t="s">
        <v>32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5">
      <c r="A65" s="1" t="s">
        <v>106</v>
      </c>
      <c r="B65" s="1" t="s">
        <v>41</v>
      </c>
      <c r="C65" s="1" t="s">
        <v>19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5">
      <c r="A66" s="1" t="s">
        <v>106</v>
      </c>
      <c r="B66" s="1" t="s">
        <v>40</v>
      </c>
      <c r="C66" s="1" t="s">
        <v>12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 t="s">
        <v>106</v>
      </c>
      <c r="B67" s="1" t="s">
        <v>39</v>
      </c>
      <c r="C67" s="1" t="s">
        <v>11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 t="s">
        <v>106</v>
      </c>
      <c r="B68" s="1" t="s">
        <v>38</v>
      </c>
      <c r="C68" s="1" t="s">
        <v>10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 t="s">
        <v>106</v>
      </c>
      <c r="B69" s="1" t="s">
        <v>37</v>
      </c>
      <c r="C69" s="1" t="s">
        <v>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 t="s">
        <v>106</v>
      </c>
      <c r="B70" s="1" t="s">
        <v>36</v>
      </c>
      <c r="C70" s="1" t="s">
        <v>8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 t="s">
        <v>106</v>
      </c>
      <c r="B71" s="1" t="s">
        <v>35</v>
      </c>
      <c r="C71" s="1" t="s">
        <v>16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 t="s">
        <v>106</v>
      </c>
      <c r="B72" s="1" t="s">
        <v>34</v>
      </c>
      <c r="C72" s="1" t="s">
        <v>7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 t="s">
        <v>106</v>
      </c>
      <c r="B73" s="1" t="s">
        <v>33</v>
      </c>
      <c r="C73" s="1" t="s">
        <v>6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 t="s">
        <v>106</v>
      </c>
      <c r="B74" s="1" t="s">
        <v>32</v>
      </c>
      <c r="C74" s="1" t="s">
        <v>105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 t="s">
        <v>106</v>
      </c>
      <c r="B75" s="1" t="s">
        <v>31</v>
      </c>
      <c r="C75" s="1" t="s">
        <v>106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 t="s">
        <v>106</v>
      </c>
      <c r="B76" s="1" t="s">
        <v>29</v>
      </c>
      <c r="C76" s="1" t="s">
        <v>106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 t="s">
        <v>106</v>
      </c>
      <c r="B77" s="1" t="s">
        <v>30</v>
      </c>
      <c r="C77" s="1" t="s">
        <v>106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 t="s">
        <v>106</v>
      </c>
      <c r="B78" s="1" t="s">
        <v>28</v>
      </c>
      <c r="C78" s="1" t="s">
        <v>106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 t="s">
        <v>106</v>
      </c>
      <c r="B79" s="1" t="s">
        <v>27</v>
      </c>
      <c r="C79" s="1" t="s">
        <v>106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 t="s">
        <v>106</v>
      </c>
      <c r="B80" s="1" t="s">
        <v>24</v>
      </c>
      <c r="C80" s="1" t="s">
        <v>106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 t="s">
        <v>106</v>
      </c>
      <c r="B81" s="1" t="s">
        <v>26</v>
      </c>
      <c r="C81" s="1" t="s">
        <v>106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 t="s">
        <v>106</v>
      </c>
      <c r="B82" s="1" t="s">
        <v>25</v>
      </c>
      <c r="C82" s="1" t="s">
        <v>106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 t="s">
        <v>106</v>
      </c>
      <c r="B83" s="1" t="s">
        <v>23</v>
      </c>
      <c r="C83" s="1" t="s">
        <v>106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 t="s">
        <v>106</v>
      </c>
      <c r="B84" s="1" t="s">
        <v>21</v>
      </c>
      <c r="C84" s="1" t="s">
        <v>106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 t="s">
        <v>106</v>
      </c>
      <c r="B85" s="1" t="s">
        <v>22</v>
      </c>
      <c r="C85" s="1" t="s">
        <v>106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 t="s">
        <v>106</v>
      </c>
      <c r="B86" s="1" t="s">
        <v>20</v>
      </c>
      <c r="C86" s="1" t="s">
        <v>106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t="s">
        <v>106</v>
      </c>
      <c r="B87" s="1" t="s">
        <v>105</v>
      </c>
      <c r="C87" s="1" t="s">
        <v>106</v>
      </c>
    </row>
    <row r="88" spans="1:23" x14ac:dyDescent="0.25">
      <c r="A88" t="s">
        <v>106</v>
      </c>
      <c r="B88" s="1" t="s">
        <v>106</v>
      </c>
      <c r="C88" s="1" t="s">
        <v>106</v>
      </c>
    </row>
    <row r="89" spans="1:23" x14ac:dyDescent="0.25">
      <c r="A89" t="s">
        <v>106</v>
      </c>
      <c r="B89" s="1" t="s">
        <v>106</v>
      </c>
      <c r="C89" s="1" t="s">
        <v>106</v>
      </c>
    </row>
    <row r="90" spans="1:23" x14ac:dyDescent="0.25">
      <c r="A90" t="s">
        <v>106</v>
      </c>
      <c r="B90" s="1" t="s">
        <v>106</v>
      </c>
      <c r="C90" s="1" t="s">
        <v>106</v>
      </c>
    </row>
    <row r="91" spans="1:23" x14ac:dyDescent="0.25">
      <c r="A91" t="s">
        <v>106</v>
      </c>
      <c r="B91" s="1" t="s">
        <v>106</v>
      </c>
      <c r="C91" s="1" t="s">
        <v>106</v>
      </c>
    </row>
    <row r="92" spans="1:23" x14ac:dyDescent="0.25">
      <c r="A92" t="s">
        <v>106</v>
      </c>
      <c r="B92" s="1" t="s">
        <v>106</v>
      </c>
      <c r="C92" s="1" t="s">
        <v>106</v>
      </c>
    </row>
    <row r="93" spans="1:23" x14ac:dyDescent="0.25">
      <c r="A93" t="s">
        <v>106</v>
      </c>
      <c r="B93" s="1" t="s">
        <v>106</v>
      </c>
      <c r="C93" s="1" t="s">
        <v>106</v>
      </c>
    </row>
    <row r="94" spans="1:23" x14ac:dyDescent="0.25">
      <c r="A94" t="s">
        <v>106</v>
      </c>
      <c r="B94" s="1" t="s">
        <v>106</v>
      </c>
      <c r="C94" s="1" t="s">
        <v>106</v>
      </c>
    </row>
    <row r="95" spans="1:23" x14ac:dyDescent="0.25">
      <c r="A95" t="s">
        <v>106</v>
      </c>
      <c r="B95" s="1" t="s">
        <v>106</v>
      </c>
      <c r="C95" s="1" t="s">
        <v>106</v>
      </c>
    </row>
    <row r="96" spans="1:23" x14ac:dyDescent="0.25">
      <c r="A96" t="s">
        <v>106</v>
      </c>
      <c r="B96" s="1" t="s">
        <v>106</v>
      </c>
      <c r="C96" s="1" t="s">
        <v>106</v>
      </c>
    </row>
    <row r="97" spans="1:3" x14ac:dyDescent="0.25">
      <c r="A97" t="s">
        <v>106</v>
      </c>
      <c r="B97" s="1" t="s">
        <v>106</v>
      </c>
      <c r="C97" s="1" t="s">
        <v>106</v>
      </c>
    </row>
    <row r="98" spans="1:3" x14ac:dyDescent="0.25">
      <c r="A98" t="s">
        <v>106</v>
      </c>
      <c r="B98" s="1" t="s">
        <v>106</v>
      </c>
      <c r="C98" s="1" t="s">
        <v>106</v>
      </c>
    </row>
    <row r="99" spans="1:3" x14ac:dyDescent="0.25">
      <c r="A99" t="s">
        <v>106</v>
      </c>
      <c r="B99" s="1" t="s">
        <v>106</v>
      </c>
      <c r="C99" s="1" t="s">
        <v>106</v>
      </c>
    </row>
    <row r="100" spans="1:3" x14ac:dyDescent="0.25">
      <c r="A100" t="s">
        <v>106</v>
      </c>
      <c r="B100" s="1" t="s">
        <v>106</v>
      </c>
      <c r="C100" s="1" t="s">
        <v>106</v>
      </c>
    </row>
    <row r="101" spans="1:3" x14ac:dyDescent="0.25">
      <c r="A101" t="s">
        <v>106</v>
      </c>
      <c r="B101" s="1" t="s">
        <v>106</v>
      </c>
      <c r="C101" s="1" t="s">
        <v>106</v>
      </c>
    </row>
    <row r="102" spans="1:3" x14ac:dyDescent="0.25">
      <c r="A102" t="s">
        <v>106</v>
      </c>
      <c r="B102" s="1" t="s">
        <v>106</v>
      </c>
      <c r="C102" s="1" t="s">
        <v>106</v>
      </c>
    </row>
    <row r="103" spans="1:3" x14ac:dyDescent="0.25">
      <c r="A103" t="s">
        <v>106</v>
      </c>
      <c r="B103" s="1" t="s">
        <v>106</v>
      </c>
      <c r="C103" s="1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Jose Scilipoti</cp:lastModifiedBy>
  <dcterms:created xsi:type="dcterms:W3CDTF">2015-06-05T18:19:34Z</dcterms:created>
  <dcterms:modified xsi:type="dcterms:W3CDTF">2021-04-23T12:49:33Z</dcterms:modified>
</cp:coreProperties>
</file>