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"/>
    </mc:Choice>
  </mc:AlternateContent>
  <bookViews>
    <workbookView xWindow="0" yWindow="0" windowWidth="22260" windowHeight="12648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1" i="1" l="1"/>
  <c r="M41" i="1"/>
  <c r="N41" i="1"/>
  <c r="O41" i="1"/>
  <c r="P41" i="1"/>
  <c r="Q41" i="1"/>
  <c r="R41" i="1"/>
  <c r="S41" i="1"/>
  <c r="T41" i="1"/>
  <c r="K41" i="1"/>
  <c r="C5" i="1" l="1"/>
</calcChain>
</file>

<file path=xl/sharedStrings.xml><?xml version="1.0" encoding="utf-8"?>
<sst xmlns="http://schemas.openxmlformats.org/spreadsheetml/2006/main" count="459" uniqueCount="143">
  <si>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</si>
  <si>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</si>
  <si>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</si>
  <si>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</si>
  <si>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</si>
  <si>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</si>
  <si>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</si>
  <si>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</si>
  <si>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</si>
  <si>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</si>
  <si>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</si>
  <si>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</si>
  <si>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</si>
  <si>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</si>
  <si>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</si>
  <si>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</si>
  <si>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</si>
  <si>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</si>
  <si>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</si>
  <si>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</si>
  <si>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</si>
  <si>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</si>
  <si>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</si>
  <si>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</si>
  <si>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</si>
  <si>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</si>
  <si>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</si>
  <si>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</si>
  <si>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</si>
  <si>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</si>
  <si>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</si>
  <si>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</si>
  <si>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</si>
  <si>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</si>
  <si>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</si>
  <si>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</si>
  <si>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</si>
  <si>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</si>
  <si>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</si>
  <si>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</si>
  <si>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</si>
  <si>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</si>
  <si>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</si>
  <si>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</si>
  <si>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</si>
  <si>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</si>
  <si>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</si>
  <si>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</si>
  <si>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</si>
  <si>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</si>
  <si>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</si>
  <si>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</si>
  <si>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</si>
  <si>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</si>
  <si>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</si>
  <si>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</si>
  <si>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</si>
  <si>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</si>
  <si>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</si>
  <si>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</si>
  <si>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</si>
  <si>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</si>
  <si>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</si>
  <si>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</si>
  <si>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</si>
  <si>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</si>
  <si>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</si>
  <si>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</si>
  <si>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</si>
  <si>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</si>
  <si>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</si>
  <si>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</si>
  <si>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</si>
  <si>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</si>
  <si>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</si>
  <si>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</si>
  <si>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</si>
  <si>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</si>
  <si>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</si>
  <si>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</si>
  <si>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</si>
  <si>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</si>
  <si>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</si>
  <si>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</si>
  <si>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</si>
  <si>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</si>
  <si>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</si>
  <si>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</si>
  <si>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</si>
  <si>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</si>
  <si>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</si>
  <si>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</si>
  <si>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</si>
  <si>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</si>
  <si>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</si>
  <si>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</si>
  <si>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</si>
  <si>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</si>
  <si>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</si>
  <si>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</si>
  <si>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</si>
  <si>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</si>
  <si>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</si>
  <si>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</si>
  <si>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</si>
  <si>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</si>
  <si>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</si>
  <si>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</si>
  <si>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</si>
  <si>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</si>
  <si>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</si>
  <si>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</si>
  <si>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</si>
  <si>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</si>
  <si>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</si>
  <si>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</si>
  <si>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</si>
  <si>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</si>
  <si>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</si>
  <si>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</si>
  <si>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Linoleico</t>
  </si>
  <si>
    <t>r</t>
  </si>
  <si>
    <t>q</t>
  </si>
  <si>
    <t>Flash</t>
  </si>
  <si>
    <t>Conditions</t>
  </si>
  <si>
    <t>T[K]</t>
  </si>
  <si>
    <t>P[atm]</t>
  </si>
  <si>
    <t>z1</t>
  </si>
  <si>
    <t>z2</t>
  </si>
  <si>
    <t>z3</t>
  </si>
  <si>
    <t>z4</t>
  </si>
  <si>
    <t>Phase 1</t>
  </si>
  <si>
    <t>Phase 2</t>
  </si>
  <si>
    <t>Ln Gamma</t>
  </si>
  <si>
    <t>Gamma</t>
  </si>
  <si>
    <t>Comp.</t>
  </si>
  <si>
    <t>x(i)</t>
  </si>
  <si>
    <t>Agua</t>
  </si>
  <si>
    <t>Oleico</t>
  </si>
  <si>
    <t>Peroxido</t>
  </si>
  <si>
    <t>Tolueno</t>
  </si>
  <si>
    <t>z5</t>
  </si>
  <si>
    <t>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</si>
</sst>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2" fillId="0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3" fillId="3" borderId="2" xfId="0" applyFont="1" applyFill="1" applyBorder="1" applyAlignment="1" applyProtection="1">
      <alignment horizontal="center" vertical="center"/>
    </xf>
    <xf numFmtId="0" fontId="5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5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5" fillId="3" borderId="6" xfId="0" applyFont="1" applyFill="1" applyBorder="1" applyProtection="1"/>
    <xf numFmtId="0" fontId="6" fillId="2" borderId="0" xfId="0" applyFont="1" applyFill="1" applyProtection="1"/>
    <xf numFmtId="0" fontId="0" fillId="4" borderId="5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5" fillId="3" borderId="5" xfId="0" applyFont="1" applyFill="1" applyBorder="1" applyAlignment="1" applyProtection="1">
      <alignment horizontal="left" vertical="center"/>
    </xf>
    <xf numFmtId="0" fontId="5" fillId="3" borderId="0" xfId="0" applyFont="1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0</xdr:row>
          <xdr:rowOff>0</xdr:rowOff>
        </xdr:from>
        <xdr:to>
          <xdr:col>10</xdr:col>
          <xdr:colOff>22860</xdr:colOff>
          <xdr:row>2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0</xdr:row>
          <xdr:rowOff>0</xdr:rowOff>
        </xdr:from>
        <xdr:to>
          <xdr:col>12</xdr:col>
          <xdr:colOff>38100</xdr:colOff>
          <xdr:row>2</xdr:row>
          <xdr:rowOff>22860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</xdr:colOff>
          <xdr:row>0</xdr:row>
          <xdr:rowOff>0</xdr:rowOff>
        </xdr:from>
        <xdr:to>
          <xdr:col>14</xdr:col>
          <xdr:colOff>60960</xdr:colOff>
          <xdr:row>2</xdr:row>
          <xdr:rowOff>22860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0</xdr:row>
          <xdr:rowOff>0</xdr:rowOff>
        </xdr:from>
        <xdr:to>
          <xdr:col>16</xdr:col>
          <xdr:colOff>68580</xdr:colOff>
          <xdr:row>2</xdr:row>
          <xdr:rowOff>22860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T41"/>
  <sheetViews>
    <sheetView tabSelected="1" topLeftCell="A13" workbookViewId="0">
      <selection activeCell="T38" sqref="T38"/>
    </sheetView>
  </sheetViews>
  <sheetFormatPr baseColWidth="10" defaultColWidth="9.109375" defaultRowHeight="14.4" x14ac:dyDescent="0.3"/>
  <cols>
    <col min="1" max="1" width="23.33203125" style="5" bestFit="1" customWidth="1"/>
    <col min="2" max="2" width="16.6640625" style="5" customWidth="1"/>
    <col min="3" max="18" width="10.44140625" style="5" customWidth="1"/>
    <col min="19" max="16384" width="9.109375" style="5"/>
  </cols>
  <sheetData>
    <row r="1" spans="1:12" ht="17.399999999999999" customHeight="1" thickBot="1" x14ac:dyDescent="0.35">
      <c r="A1" s="7" t="s">
        <v>2</v>
      </c>
      <c r="B1" s="24" t="s">
        <v>3</v>
      </c>
      <c r="C1" s="24"/>
      <c r="D1" s="24"/>
      <c r="E1" s="24"/>
      <c r="F1" s="24"/>
      <c r="G1" s="24"/>
      <c r="H1" s="24"/>
    </row>
    <row r="2" spans="1:12" ht="17.399999999999999" customHeight="1" thickBot="1" x14ac:dyDescent="0.35">
      <c r="A2" s="7" t="s">
        <v>0</v>
      </c>
      <c r="B2" s="24" t="s">
        <v>1</v>
      </c>
      <c r="C2" s="24"/>
      <c r="D2" s="24"/>
      <c r="E2" s="24"/>
      <c r="F2" s="24"/>
      <c r="G2" s="24"/>
      <c r="H2" s="24"/>
    </row>
    <row r="3" spans="1:12" x14ac:dyDescent="0.3">
      <c r="A3" s="6"/>
    </row>
    <row r="4" spans="1:12" x14ac:dyDescent="0.3">
      <c r="A4" s="12" t="s">
        <v>113</v>
      </c>
      <c r="B4" s="13"/>
    </row>
    <row r="5" spans="1:12" x14ac:dyDescent="0.3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3">
      <c r="A6" s="8" t="s">
        <v>115</v>
      </c>
      <c r="B6" s="11">
        <v>5</v>
      </c>
    </row>
    <row r="8" spans="1:12" x14ac:dyDescent="0.3">
      <c r="A8" s="19" t="s">
        <v>137</v>
      </c>
      <c r="B8" s="14" t="s">
        <v>116</v>
      </c>
      <c r="C8" s="14" t="s">
        <v>87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3">
      <c r="A9" s="23"/>
      <c r="B9" s="15" t="s">
        <v>119</v>
      </c>
      <c r="C9" s="15">
        <v>1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3">
      <c r="A10" s="19" t="s">
        <v>139</v>
      </c>
      <c r="B10" s="14" t="s">
        <v>116</v>
      </c>
      <c r="C10" s="14" t="s">
        <v>89</v>
      </c>
      <c r="D10" s="14" t="s">
        <v>117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3">
      <c r="A11" s="23"/>
      <c r="B11" s="15" t="s">
        <v>119</v>
      </c>
      <c r="C11" s="15">
        <v>2</v>
      </c>
      <c r="D11" s="15" t="s">
        <v>118</v>
      </c>
      <c r="E11" s="15" t="s">
        <v>118</v>
      </c>
      <c r="F11" s="15" t="s">
        <v>118</v>
      </c>
      <c r="G11" s="15" t="s">
        <v>118</v>
      </c>
      <c r="H11" s="15" t="s">
        <v>118</v>
      </c>
      <c r="I11" s="15" t="s">
        <v>118</v>
      </c>
      <c r="J11" s="15" t="s">
        <v>118</v>
      </c>
      <c r="K11" s="15" t="s">
        <v>118</v>
      </c>
      <c r="L11" s="15" t="s">
        <v>118</v>
      </c>
    </row>
    <row r="12" spans="1:12" x14ac:dyDescent="0.3">
      <c r="A12" s="19" t="s">
        <v>138</v>
      </c>
      <c r="B12" s="14" t="s">
        <v>116</v>
      </c>
      <c r="C12" s="14" t="s">
        <v>101</v>
      </c>
      <c r="D12" s="14" t="s">
        <v>103</v>
      </c>
      <c r="E12" s="14" t="s">
        <v>99</v>
      </c>
      <c r="F12" s="14" t="s">
        <v>61</v>
      </c>
      <c r="G12" s="14" t="s">
        <v>117</v>
      </c>
      <c r="H12" s="14" t="s">
        <v>117</v>
      </c>
      <c r="I12" s="14" t="s">
        <v>117</v>
      </c>
      <c r="J12" s="14" t="s">
        <v>117</v>
      </c>
      <c r="K12" s="14" t="s">
        <v>117</v>
      </c>
      <c r="L12" s="14" t="s">
        <v>117</v>
      </c>
    </row>
    <row r="13" spans="1:12" x14ac:dyDescent="0.3">
      <c r="A13" s="23"/>
      <c r="B13" s="15" t="s">
        <v>119</v>
      </c>
      <c r="C13" s="15">
        <v>1</v>
      </c>
      <c r="D13" s="15">
        <v>14</v>
      </c>
      <c r="E13" s="15">
        <v>1</v>
      </c>
      <c r="F13" s="15">
        <v>1</v>
      </c>
      <c r="G13" s="15" t="s">
        <v>118</v>
      </c>
      <c r="H13" s="15" t="s">
        <v>118</v>
      </c>
      <c r="I13" s="15" t="s">
        <v>118</v>
      </c>
      <c r="J13" s="15" t="s">
        <v>118</v>
      </c>
      <c r="K13" s="15" t="s">
        <v>118</v>
      </c>
      <c r="L13" s="15" t="s">
        <v>118</v>
      </c>
    </row>
    <row r="14" spans="1:12" x14ac:dyDescent="0.3">
      <c r="A14" s="19" t="s">
        <v>140</v>
      </c>
      <c r="B14" s="14" t="s">
        <v>116</v>
      </c>
      <c r="C14" s="14" t="s">
        <v>94</v>
      </c>
      <c r="D14" s="14" t="s">
        <v>91</v>
      </c>
      <c r="E14" s="14" t="s">
        <v>117</v>
      </c>
      <c r="F14" s="14" t="s">
        <v>117</v>
      </c>
      <c r="G14" s="14" t="s">
        <v>117</v>
      </c>
      <c r="H14" s="14" t="s">
        <v>117</v>
      </c>
      <c r="I14" s="14" t="s">
        <v>117</v>
      </c>
      <c r="J14" s="14" t="s">
        <v>117</v>
      </c>
      <c r="K14" s="14" t="s">
        <v>117</v>
      </c>
      <c r="L14" s="14" t="s">
        <v>117</v>
      </c>
    </row>
    <row r="15" spans="1:12" x14ac:dyDescent="0.3">
      <c r="A15" s="23"/>
      <c r="B15" s="15" t="s">
        <v>119</v>
      </c>
      <c r="C15" s="15">
        <v>5</v>
      </c>
      <c r="D15" s="15">
        <v>1</v>
      </c>
      <c r="E15" s="15" t="s">
        <v>118</v>
      </c>
      <c r="F15" s="15" t="s">
        <v>118</v>
      </c>
      <c r="G15" s="15" t="s">
        <v>118</v>
      </c>
      <c r="H15" s="15" t="s">
        <v>118</v>
      </c>
      <c r="I15" s="15" t="s">
        <v>118</v>
      </c>
      <c r="J15" s="15" t="s">
        <v>118</v>
      </c>
      <c r="K15" s="15" t="s">
        <v>118</v>
      </c>
      <c r="L15" s="15" t="s">
        <v>118</v>
      </c>
    </row>
    <row r="16" spans="1:12" x14ac:dyDescent="0.3">
      <c r="A16" s="19" t="s">
        <v>120</v>
      </c>
      <c r="B16" s="14" t="s">
        <v>116</v>
      </c>
      <c r="C16" s="14" t="s">
        <v>101</v>
      </c>
      <c r="D16" s="14" t="s">
        <v>103</v>
      </c>
      <c r="E16" s="14" t="s">
        <v>99</v>
      </c>
      <c r="F16" s="14" t="s">
        <v>61</v>
      </c>
      <c r="G16" s="14" t="s">
        <v>117</v>
      </c>
      <c r="H16" s="14" t="s">
        <v>117</v>
      </c>
      <c r="I16" s="14" t="s">
        <v>117</v>
      </c>
      <c r="J16" s="14" t="s">
        <v>117</v>
      </c>
      <c r="K16" s="14" t="s">
        <v>117</v>
      </c>
      <c r="L16" s="14" t="s">
        <v>117</v>
      </c>
    </row>
    <row r="17" spans="1:12" x14ac:dyDescent="0.3">
      <c r="A17" s="20"/>
      <c r="B17" s="16" t="s">
        <v>119</v>
      </c>
      <c r="C17" s="16">
        <v>1</v>
      </c>
      <c r="D17" s="16">
        <v>12</v>
      </c>
      <c r="E17" s="16">
        <v>2</v>
      </c>
      <c r="F17" s="16">
        <v>1</v>
      </c>
      <c r="G17" s="16" t="s">
        <v>118</v>
      </c>
      <c r="H17" s="16" t="s">
        <v>118</v>
      </c>
      <c r="I17" s="16" t="s">
        <v>118</v>
      </c>
      <c r="J17" s="16" t="s">
        <v>118</v>
      </c>
      <c r="K17" s="16" t="s">
        <v>118</v>
      </c>
      <c r="L17" s="16" t="s">
        <v>118</v>
      </c>
    </row>
    <row r="19" spans="1:12" x14ac:dyDescent="0.3">
      <c r="A19" s="18">
        <v>8</v>
      </c>
      <c r="B19" s="12" t="s">
        <v>87</v>
      </c>
      <c r="C19" s="12" t="s">
        <v>89</v>
      </c>
      <c r="D19" s="12" t="s">
        <v>101</v>
      </c>
      <c r="E19" s="12" t="s">
        <v>103</v>
      </c>
      <c r="F19" s="12" t="s">
        <v>99</v>
      </c>
      <c r="G19" s="12" t="s">
        <v>61</v>
      </c>
      <c r="H19" s="12" t="s">
        <v>94</v>
      </c>
      <c r="I19" s="17" t="s">
        <v>91</v>
      </c>
    </row>
    <row r="20" spans="1:12" x14ac:dyDescent="0.3">
      <c r="A20" s="12" t="s">
        <v>121</v>
      </c>
      <c r="B20" s="9">
        <v>0.92</v>
      </c>
      <c r="C20" s="9">
        <v>1</v>
      </c>
      <c r="D20" s="9">
        <v>0.90100000000000002</v>
      </c>
      <c r="E20" s="9">
        <v>0.67400000000000004</v>
      </c>
      <c r="F20" s="9">
        <v>1.117</v>
      </c>
      <c r="G20" s="9">
        <v>1.3009999999999999</v>
      </c>
      <c r="H20" s="9">
        <v>0.53100000000000003</v>
      </c>
      <c r="I20" s="13">
        <v>1.266</v>
      </c>
    </row>
    <row r="21" spans="1:12" x14ac:dyDescent="0.3">
      <c r="A21" s="12" t="s">
        <v>122</v>
      </c>
      <c r="B21" s="9">
        <v>1.4</v>
      </c>
      <c r="C21" s="9">
        <v>1.2</v>
      </c>
      <c r="D21" s="9">
        <v>0.84799999999999998</v>
      </c>
      <c r="E21" s="9">
        <v>0.54</v>
      </c>
      <c r="F21" s="9">
        <v>0.86699999999999999</v>
      </c>
      <c r="G21" s="9">
        <v>1.224</v>
      </c>
      <c r="H21" s="9">
        <v>0.4</v>
      </c>
      <c r="I21" s="13">
        <v>0.96799999999999997</v>
      </c>
    </row>
    <row r="22" spans="1:12" x14ac:dyDescent="0.3">
      <c r="A22" s="12" t="s">
        <v>87</v>
      </c>
      <c r="B22" s="9">
        <v>0</v>
      </c>
      <c r="C22" s="9">
        <v>70.7</v>
      </c>
      <c r="D22" s="9">
        <v>136.80000000000001</v>
      </c>
      <c r="E22" s="9">
        <v>136.80000000000001</v>
      </c>
      <c r="F22" s="9">
        <v>496.1</v>
      </c>
      <c r="G22" s="9">
        <v>281</v>
      </c>
      <c r="H22" s="9">
        <v>362.3</v>
      </c>
      <c r="I22" s="13">
        <v>377.6</v>
      </c>
    </row>
    <row r="23" spans="1:12" x14ac:dyDescent="0.3">
      <c r="A23" s="12" t="s">
        <v>89</v>
      </c>
      <c r="B23" s="9">
        <v>-127.3</v>
      </c>
      <c r="C23" s="9">
        <v>0</v>
      </c>
      <c r="D23" s="9">
        <v>387.4</v>
      </c>
      <c r="E23" s="9">
        <v>387.4</v>
      </c>
      <c r="F23" s="9">
        <v>457</v>
      </c>
      <c r="G23" s="9">
        <v>-143.9</v>
      </c>
      <c r="H23" s="9">
        <v>89.6</v>
      </c>
      <c r="I23" s="13">
        <v>25.82</v>
      </c>
    </row>
    <row r="24" spans="1:12" x14ac:dyDescent="0.3">
      <c r="A24" s="12" t="s">
        <v>101</v>
      </c>
      <c r="B24" s="9">
        <v>380.5</v>
      </c>
      <c r="C24" s="9">
        <v>50.4</v>
      </c>
      <c r="D24" s="9">
        <v>0</v>
      </c>
      <c r="E24" s="9">
        <v>0</v>
      </c>
      <c r="F24" s="9">
        <v>85</v>
      </c>
      <c r="G24" s="9">
        <v>260.7</v>
      </c>
      <c r="H24" s="9">
        <v>61.13</v>
      </c>
      <c r="I24" s="13">
        <v>76.5</v>
      </c>
    </row>
    <row r="25" spans="1:12" x14ac:dyDescent="0.3">
      <c r="A25" s="12" t="s">
        <v>103</v>
      </c>
      <c r="B25" s="9">
        <v>380.5</v>
      </c>
      <c r="C25" s="9">
        <v>50.4</v>
      </c>
      <c r="D25" s="9">
        <v>0</v>
      </c>
      <c r="E25" s="9">
        <v>0</v>
      </c>
      <c r="F25" s="9">
        <v>85</v>
      </c>
      <c r="G25" s="9">
        <v>260.7</v>
      </c>
      <c r="H25" s="9">
        <v>61.13</v>
      </c>
      <c r="I25" s="13">
        <v>76.5</v>
      </c>
    </row>
    <row r="26" spans="1:12" x14ac:dyDescent="0.3">
      <c r="A26" s="12" t="s">
        <v>99</v>
      </c>
      <c r="B26" s="9">
        <v>270.60000000000002</v>
      </c>
      <c r="C26" s="9">
        <v>524.1</v>
      </c>
      <c r="D26" s="9">
        <v>-35.36</v>
      </c>
      <c r="E26" s="9">
        <v>-35.36</v>
      </c>
      <c r="F26" s="9">
        <v>0</v>
      </c>
      <c r="G26" s="9">
        <v>318.89999999999998</v>
      </c>
      <c r="H26" s="9">
        <v>38.81</v>
      </c>
      <c r="I26" s="13">
        <v>74.150000000000006</v>
      </c>
    </row>
    <row r="27" spans="1:12" x14ac:dyDescent="0.3">
      <c r="A27" s="12" t="s">
        <v>61</v>
      </c>
      <c r="B27" s="9">
        <v>-350.6</v>
      </c>
      <c r="C27" s="9">
        <v>381.5</v>
      </c>
      <c r="D27" s="9">
        <v>284.7</v>
      </c>
      <c r="E27" s="9">
        <v>284.7</v>
      </c>
      <c r="F27" s="9">
        <v>1264</v>
      </c>
      <c r="G27" s="9">
        <v>0</v>
      </c>
      <c r="H27" s="9">
        <v>62.32</v>
      </c>
      <c r="I27" s="13">
        <v>89.86</v>
      </c>
    </row>
    <row r="28" spans="1:12" x14ac:dyDescent="0.3">
      <c r="A28" s="12" t="s">
        <v>94</v>
      </c>
      <c r="B28" s="9">
        <v>-31.17</v>
      </c>
      <c r="C28" s="9">
        <v>20.88</v>
      </c>
      <c r="D28" s="9">
        <v>-11.12</v>
      </c>
      <c r="E28" s="9">
        <v>-11.12</v>
      </c>
      <c r="F28" s="9">
        <v>3.4460000000000002</v>
      </c>
      <c r="G28" s="9">
        <v>66.010000000000005</v>
      </c>
      <c r="H28" s="9">
        <v>0</v>
      </c>
      <c r="I28" s="13">
        <v>167</v>
      </c>
    </row>
    <row r="29" spans="1:12" x14ac:dyDescent="0.3">
      <c r="A29" s="12" t="s">
        <v>91</v>
      </c>
      <c r="B29" s="9">
        <v>5695</v>
      </c>
      <c r="C29" s="9">
        <v>803.2</v>
      </c>
      <c r="D29" s="9">
        <v>-69.7</v>
      </c>
      <c r="E29" s="9">
        <v>-69.7</v>
      </c>
      <c r="F29" s="9">
        <v>-113.6</v>
      </c>
      <c r="G29" s="9">
        <v>872.3</v>
      </c>
      <c r="H29" s="9">
        <v>-146.80000000000001</v>
      </c>
      <c r="I29" s="13">
        <v>0</v>
      </c>
    </row>
    <row r="30" spans="1:12" x14ac:dyDescent="0.3">
      <c r="A30" s="12" t="s">
        <v>137</v>
      </c>
      <c r="B30" s="9">
        <v>1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13">
        <v>0</v>
      </c>
    </row>
    <row r="31" spans="1:12" x14ac:dyDescent="0.3">
      <c r="A31" s="12" t="s">
        <v>139</v>
      </c>
      <c r="B31" s="9">
        <v>0</v>
      </c>
      <c r="C31" s="9">
        <v>2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13">
        <v>0</v>
      </c>
    </row>
    <row r="32" spans="1:12" x14ac:dyDescent="0.3">
      <c r="A32" s="12" t="s">
        <v>138</v>
      </c>
      <c r="B32" s="9">
        <v>0</v>
      </c>
      <c r="C32" s="9">
        <v>0</v>
      </c>
      <c r="D32" s="9">
        <v>1</v>
      </c>
      <c r="E32" s="9">
        <v>14</v>
      </c>
      <c r="F32" s="9">
        <v>1</v>
      </c>
      <c r="G32" s="9">
        <v>1</v>
      </c>
      <c r="H32" s="9">
        <v>0</v>
      </c>
      <c r="I32" s="13">
        <v>0</v>
      </c>
    </row>
    <row r="33" spans="1:20" x14ac:dyDescent="0.3">
      <c r="A33" s="12" t="s">
        <v>140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5</v>
      </c>
      <c r="I33" s="13">
        <v>1</v>
      </c>
    </row>
    <row r="34" spans="1:20" x14ac:dyDescent="0.3">
      <c r="A34" s="8" t="s">
        <v>120</v>
      </c>
      <c r="B34" s="10">
        <v>0</v>
      </c>
      <c r="C34" s="10">
        <v>0</v>
      </c>
      <c r="D34" s="10">
        <v>1</v>
      </c>
      <c r="E34" s="10">
        <v>12</v>
      </c>
      <c r="F34" s="10">
        <v>2</v>
      </c>
      <c r="G34" s="10">
        <v>1</v>
      </c>
      <c r="H34" s="10">
        <v>0</v>
      </c>
      <c r="I34" s="11">
        <v>0</v>
      </c>
    </row>
    <row r="36" spans="1:20" x14ac:dyDescent="0.3">
      <c r="B36" s="17" t="s">
        <v>124</v>
      </c>
      <c r="K36" s="17" t="s">
        <v>131</v>
      </c>
      <c r="P36" s="17" t="s">
        <v>132</v>
      </c>
    </row>
    <row r="37" spans="1:20" x14ac:dyDescent="0.3">
      <c r="A37" s="21" t="s">
        <v>123</v>
      </c>
      <c r="B37" s="12" t="s">
        <v>125</v>
      </c>
      <c r="C37" s="12" t="s">
        <v>126</v>
      </c>
      <c r="D37" s="12" t="s">
        <v>127</v>
      </c>
      <c r="E37" s="12" t="s">
        <v>128</v>
      </c>
      <c r="F37" s="12" t="s">
        <v>129</v>
      </c>
      <c r="G37" s="12" t="s">
        <v>130</v>
      </c>
      <c r="H37" s="17" t="s">
        <v>141</v>
      </c>
      <c r="J37" s="12" t="s">
        <v>135</v>
      </c>
      <c r="K37" s="12">
        <v>1</v>
      </c>
      <c r="L37" s="12">
        <v>2</v>
      </c>
      <c r="M37" s="12">
        <v>3</v>
      </c>
      <c r="N37" s="12">
        <v>4</v>
      </c>
      <c r="O37" s="12">
        <v>5</v>
      </c>
      <c r="P37" s="12">
        <v>1</v>
      </c>
      <c r="Q37" s="12">
        <v>2</v>
      </c>
      <c r="R37" s="12">
        <v>3</v>
      </c>
      <c r="S37" s="12">
        <v>4</v>
      </c>
      <c r="T37" s="17">
        <v>5</v>
      </c>
    </row>
    <row r="38" spans="1:20" x14ac:dyDescent="0.3">
      <c r="A38" s="22"/>
      <c r="B38" s="10">
        <v>293</v>
      </c>
      <c r="C38" s="10">
        <v>1</v>
      </c>
      <c r="D38" s="10">
        <v>0.35</v>
      </c>
      <c r="E38" s="10">
        <v>0.15</v>
      </c>
      <c r="F38" s="10">
        <v>0.1</v>
      </c>
      <c r="G38" s="10">
        <v>0.3</v>
      </c>
      <c r="H38" s="11">
        <v>0.1</v>
      </c>
      <c r="J38" s="12" t="s">
        <v>136</v>
      </c>
      <c r="K38" s="9">
        <v>0.67268238000000002</v>
      </c>
      <c r="L38" s="9">
        <v>0.32434884000000003</v>
      </c>
      <c r="M38" s="9">
        <v>0</v>
      </c>
      <c r="N38" s="9">
        <v>2.9687799999999999E-3</v>
      </c>
      <c r="O38" s="9">
        <v>0</v>
      </c>
      <c r="P38" s="9">
        <v>0.10869959999999999</v>
      </c>
      <c r="Q38" s="9">
        <v>1.9622730000000001E-2</v>
      </c>
      <c r="R38" s="9">
        <v>0.17477954000000001</v>
      </c>
      <c r="S38" s="9">
        <v>0.52211859000000005</v>
      </c>
      <c r="T38" s="13">
        <v>0.17477954000000001</v>
      </c>
    </row>
    <row r="39" spans="1:20" x14ac:dyDescent="0.3">
      <c r="J39" s="12" t="s">
        <v>133</v>
      </c>
      <c r="K39" s="9">
        <v>-8.5719180000000006E-2</v>
      </c>
      <c r="L39" s="9">
        <v>-0.19284572</v>
      </c>
      <c r="M39" s="9">
        <v>22.839175579999999</v>
      </c>
      <c r="N39" s="9">
        <v>5.0923060800000002</v>
      </c>
      <c r="O39" s="9">
        <v>22.170174509999999</v>
      </c>
      <c r="P39" s="9">
        <v>1.7369660099999999</v>
      </c>
      <c r="Q39" s="9">
        <v>2.6122851499999999</v>
      </c>
      <c r="R39" s="9">
        <v>-0.10709311000000001</v>
      </c>
      <c r="S39" s="9">
        <v>-7.7437060000000002E-2</v>
      </c>
      <c r="T39" s="13">
        <v>-0.23259524000000001</v>
      </c>
    </row>
    <row r="40" spans="1:20" x14ac:dyDescent="0.3">
      <c r="J40" s="8" t="s">
        <v>134</v>
      </c>
      <c r="K40" s="10">
        <v>0.91785194621623123</v>
      </c>
      <c r="L40" s="10">
        <v>0.82460918503087421</v>
      </c>
      <c r="M40" s="10">
        <v>8297130590.5925398</v>
      </c>
      <c r="N40" s="10">
        <v>162.76477819372937</v>
      </c>
      <c r="O40" s="10">
        <v>4249956183.2242384</v>
      </c>
      <c r="P40" s="10">
        <v>5.6800839354963859</v>
      </c>
      <c r="Q40" s="10">
        <v>13.630162256459718</v>
      </c>
      <c r="R40" s="10">
        <v>0.89844201515964417</v>
      </c>
      <c r="S40" s="10">
        <v>0.92548527260660429</v>
      </c>
      <c r="T40" s="11">
        <v>0.79247427050300989</v>
      </c>
    </row>
    <row r="41" spans="1:20" x14ac:dyDescent="0.3">
      <c r="J41" s="5" t="s">
        <v>142</v>
      </c>
      <c r="K41" s="5">
        <f>K40*K38</f>
        <v>0.61742283166836642</v>
      </c>
      <c r="L41" s="5">
        <f t="shared" ref="L41:T41" si="0">L40*L38</f>
        <v>0.26746103261810944</v>
      </c>
      <c r="M41" s="5">
        <f t="shared" si="0"/>
        <v>0</v>
      </c>
      <c r="N41" s="5">
        <f t="shared" si="0"/>
        <v>0.48321281820597983</v>
      </c>
      <c r="O41" s="5">
        <f t="shared" si="0"/>
        <v>0</v>
      </c>
      <c r="P41" s="5">
        <f t="shared" si="0"/>
        <v>0.61742285175488287</v>
      </c>
      <c r="Q41" s="5">
        <f t="shared" si="0"/>
        <v>0.26746099381469984</v>
      </c>
      <c r="R41" s="5">
        <f t="shared" si="0"/>
        <v>0.15702928212627565</v>
      </c>
      <c r="S41" s="5">
        <f t="shared" si="0"/>
        <v>0.48321306559912591</v>
      </c>
      <c r="T41" s="5">
        <f t="shared" si="0"/>
        <v>0.13850828846035165</v>
      </c>
    </row>
  </sheetData>
  <mergeCells count="8">
    <mergeCell ref="A16:A17"/>
    <mergeCell ref="A37:A38"/>
    <mergeCell ref="A14:A15"/>
    <mergeCell ref="B1:H1"/>
    <mergeCell ref="B2:H2"/>
    <mergeCell ref="A8:A9"/>
    <mergeCell ref="A10:A11"/>
    <mergeCell ref="A12:A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22860</xdr:colOff>
                    <xdr:row>0</xdr:row>
                    <xdr:rowOff>0</xdr:rowOff>
                  </from>
                  <to>
                    <xdr:col>10</xdr:col>
                    <xdr:colOff>22860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30480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45720</xdr:colOff>
                    <xdr:row>0</xdr:row>
                    <xdr:rowOff>0</xdr:rowOff>
                  </from>
                  <to>
                    <xdr:col>14</xdr:col>
                    <xdr:colOff>60960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60960</xdr:colOff>
                    <xdr:row>0</xdr:row>
                    <xdr:rowOff>0</xdr:rowOff>
                  </from>
                  <to>
                    <xdr:col>16</xdr:col>
                    <xdr:colOff>68580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C16:L16 C14:L14 C12:L12 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C1" sqref="C1"/>
    </sheetView>
  </sheetViews>
  <sheetFormatPr baseColWidth="10" defaultColWidth="11.5546875" defaultRowHeight="14.4" x14ac:dyDescent="0.3"/>
  <cols>
    <col min="1" max="3" width="9.88671875" bestFit="1" customWidth="1"/>
    <col min="4" max="4" width="28.5546875" customWidth="1"/>
    <col min="5" max="5" width="10.88671875" bestFit="1" customWidth="1"/>
    <col min="6" max="6" width="2" bestFit="1" customWidth="1"/>
    <col min="7" max="7" width="2.109375" bestFit="1" customWidth="1"/>
    <col min="8" max="8" width="2" bestFit="1" customWidth="1"/>
    <col min="9" max="9" width="2.33203125" bestFit="1" customWidth="1"/>
    <col min="10" max="15" width="14.88671875" bestFit="1" customWidth="1"/>
    <col min="16" max="16" width="15.5546875" bestFit="1" customWidth="1"/>
    <col min="17" max="18" width="14.88671875" bestFit="1" customWidth="1"/>
    <col min="19" max="23" width="3.88671875" bestFit="1" customWidth="1"/>
  </cols>
  <sheetData>
    <row r="1" spans="1:23" x14ac:dyDescent="0.3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3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3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3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3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3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3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3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3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3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3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3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3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3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3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3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3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3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3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3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3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3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3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3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3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3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3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3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3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3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3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3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3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3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3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3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3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3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3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3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3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3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3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3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3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3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3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3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3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3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3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3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3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3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3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3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3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3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3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3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3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3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3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3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3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3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3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3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3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3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3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3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3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3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3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3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3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3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3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3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3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3">
      <c r="A87" t="s">
        <v>106</v>
      </c>
      <c r="B87" s="1" t="s">
        <v>105</v>
      </c>
      <c r="C87" s="1" t="s">
        <v>106</v>
      </c>
    </row>
    <row r="88" spans="1:23" x14ac:dyDescent="0.3">
      <c r="A88" t="s">
        <v>106</v>
      </c>
      <c r="B88" s="1" t="s">
        <v>106</v>
      </c>
      <c r="C88" s="1" t="s">
        <v>106</v>
      </c>
    </row>
    <row r="89" spans="1:23" x14ac:dyDescent="0.3">
      <c r="A89" t="s">
        <v>106</v>
      </c>
      <c r="B89" s="1" t="s">
        <v>106</v>
      </c>
      <c r="C89" s="1" t="s">
        <v>106</v>
      </c>
    </row>
    <row r="90" spans="1:23" x14ac:dyDescent="0.3">
      <c r="A90" t="s">
        <v>106</v>
      </c>
      <c r="B90" s="1" t="s">
        <v>106</v>
      </c>
      <c r="C90" s="1" t="s">
        <v>106</v>
      </c>
    </row>
    <row r="91" spans="1:23" x14ac:dyDescent="0.3">
      <c r="A91" t="s">
        <v>106</v>
      </c>
      <c r="B91" s="1" t="s">
        <v>106</v>
      </c>
      <c r="C91" s="1" t="s">
        <v>106</v>
      </c>
    </row>
    <row r="92" spans="1:23" x14ac:dyDescent="0.3">
      <c r="A92" t="s">
        <v>106</v>
      </c>
      <c r="B92" s="1" t="s">
        <v>106</v>
      </c>
      <c r="C92" s="1" t="s">
        <v>106</v>
      </c>
    </row>
    <row r="93" spans="1:23" x14ac:dyDescent="0.3">
      <c r="A93" t="s">
        <v>106</v>
      </c>
      <c r="B93" s="1" t="s">
        <v>106</v>
      </c>
      <c r="C93" s="1" t="s">
        <v>106</v>
      </c>
    </row>
    <row r="94" spans="1:23" x14ac:dyDescent="0.3">
      <c r="A94" t="s">
        <v>106</v>
      </c>
      <c r="B94" s="1" t="s">
        <v>106</v>
      </c>
      <c r="C94" s="1" t="s">
        <v>106</v>
      </c>
    </row>
    <row r="95" spans="1:23" x14ac:dyDescent="0.3">
      <c r="A95" t="s">
        <v>106</v>
      </c>
      <c r="B95" s="1" t="s">
        <v>106</v>
      </c>
      <c r="C95" s="1" t="s">
        <v>106</v>
      </c>
    </row>
    <row r="96" spans="1:23" x14ac:dyDescent="0.3">
      <c r="A96" t="s">
        <v>106</v>
      </c>
      <c r="B96" s="1" t="s">
        <v>106</v>
      </c>
      <c r="C96" s="1" t="s">
        <v>106</v>
      </c>
    </row>
    <row r="97" spans="1:3" x14ac:dyDescent="0.3">
      <c r="A97" t="s">
        <v>106</v>
      </c>
      <c r="B97" s="1" t="s">
        <v>106</v>
      </c>
      <c r="C97" s="1" t="s">
        <v>106</v>
      </c>
    </row>
    <row r="98" spans="1:3" x14ac:dyDescent="0.3">
      <c r="A98" t="s">
        <v>106</v>
      </c>
      <c r="B98" s="1" t="s">
        <v>106</v>
      </c>
      <c r="C98" s="1" t="s">
        <v>106</v>
      </c>
    </row>
    <row r="99" spans="1:3" x14ac:dyDescent="0.3">
      <c r="A99" t="s">
        <v>106</v>
      </c>
      <c r="B99" s="1" t="s">
        <v>106</v>
      </c>
      <c r="C99" s="1" t="s">
        <v>106</v>
      </c>
    </row>
    <row r="100" spans="1:3" x14ac:dyDescent="0.3">
      <c r="A100" t="s">
        <v>106</v>
      </c>
      <c r="B100" s="1" t="s">
        <v>106</v>
      </c>
      <c r="C100" s="1" t="s">
        <v>106</v>
      </c>
    </row>
    <row r="101" spans="1:3" x14ac:dyDescent="0.3">
      <c r="A101" t="s">
        <v>106</v>
      </c>
      <c r="B101" s="1" t="s">
        <v>106</v>
      </c>
      <c r="C101" s="1" t="s">
        <v>106</v>
      </c>
    </row>
    <row r="102" spans="1:3" x14ac:dyDescent="0.3">
      <c r="A102" t="s">
        <v>106</v>
      </c>
      <c r="B102" s="1" t="s">
        <v>106</v>
      </c>
      <c r="C102" s="1" t="s">
        <v>106</v>
      </c>
    </row>
    <row r="103" spans="1:3" x14ac:dyDescent="0.3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2019-02-20T17:11:28Z</dcterms:modified>
</cp:coreProperties>
</file>