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scil\Dropbox\FACU\Termodinamica de reacciones\Software\Flash\Dil Inf\"/>
    </mc:Choice>
  </mc:AlternateContent>
  <bookViews>
    <workbookView xWindow="0" yWindow="0" windowWidth="22260" windowHeight="12645"/>
  </bookViews>
  <sheets>
    <sheet name="Input" sheetId="1" r:id="rId1"/>
    <sheet name="gruposram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0" i="1" l="1"/>
  <c r="C5" i="1" l="1"/>
</calcChain>
</file>

<file path=xl/sharedStrings.xml><?xml version="1.0" encoding="utf-8"?>
<sst xmlns="http://schemas.openxmlformats.org/spreadsheetml/2006/main" count="382" uniqueCount="135">
  <si>
    <t>Path for .exe:</t>
  </si>
  <si>
    <t>C:\Users\jscil\Dropbox\FACU\Termodinamica de reacciones\Software\Flash\</t>
  </si>
  <si>
    <t>Problem Name:</t>
  </si>
  <si>
    <t>llecalas2</t>
  </si>
  <si>
    <t>(CNO2)</t>
  </si>
  <si>
    <t>(C5H2N)</t>
  </si>
  <si>
    <t>(TEG)</t>
  </si>
  <si>
    <t>(NFM)</t>
  </si>
  <si>
    <t>(DMA)</t>
  </si>
  <si>
    <t>(CH2S)</t>
  </si>
  <si>
    <t>(CH3S)</t>
  </si>
  <si>
    <t>(ACCOO)</t>
  </si>
  <si>
    <t>(SULFOL)</t>
  </si>
  <si>
    <t>(TMS)</t>
  </si>
  <si>
    <t>(MFA)</t>
  </si>
  <si>
    <t>(TCLE)</t>
  </si>
  <si>
    <t>(DEOH)</t>
  </si>
  <si>
    <t>(P2)</t>
  </si>
  <si>
    <t>(P1)</t>
  </si>
  <si>
    <t>(NMP)</t>
  </si>
  <si>
    <t>(SIO)</t>
  </si>
  <si>
    <t>(SIH2O)</t>
  </si>
  <si>
    <t>(SIHO)</t>
  </si>
  <si>
    <t>(SI)</t>
  </si>
  <si>
    <t>(SIH3)</t>
  </si>
  <si>
    <t>(SIH)</t>
  </si>
  <si>
    <t>(SIH2)</t>
  </si>
  <si>
    <t>(COO)</t>
  </si>
  <si>
    <t>(CF)</t>
  </si>
  <si>
    <t>(CF3)</t>
  </si>
  <si>
    <t>(CF2)</t>
  </si>
  <si>
    <t>(DMF-2)</t>
  </si>
  <si>
    <t>(DMFA)</t>
  </si>
  <si>
    <t>(ACF)</t>
  </si>
  <si>
    <t>CL-(C=C)</t>
  </si>
  <si>
    <t>(ACRY)</t>
  </si>
  <si>
    <t>(ME2SO)</t>
  </si>
  <si>
    <t>(C=-C)</t>
  </si>
  <si>
    <t>(CH=-C)</t>
  </si>
  <si>
    <t>(BR)</t>
  </si>
  <si>
    <t>(I)</t>
  </si>
  <si>
    <t>(CH2OH)2</t>
  </si>
  <si>
    <t>(FURF)</t>
  </si>
  <si>
    <t>(CH2SH)</t>
  </si>
  <si>
    <t>(CH3SH)</t>
  </si>
  <si>
    <t>(CS2)</t>
  </si>
  <si>
    <t>(ACNO2)</t>
  </si>
  <si>
    <t>(CHNO2)</t>
  </si>
  <si>
    <t>(CH3NO2)</t>
  </si>
  <si>
    <t>(CH2NO2)</t>
  </si>
  <si>
    <t>(ACCL)</t>
  </si>
  <si>
    <t>(CCL4)</t>
  </si>
  <si>
    <t>(CCL3)</t>
  </si>
  <si>
    <t>(CHCL3)</t>
  </si>
  <si>
    <t>(CCL2)</t>
  </si>
  <si>
    <t>(CH2CL2)</t>
  </si>
  <si>
    <t>(CHCL2)</t>
  </si>
  <si>
    <t>(CCL)</t>
  </si>
  <si>
    <t>(CH2CL)</t>
  </si>
  <si>
    <t>(CHCL)</t>
  </si>
  <si>
    <t>(HCOOH)</t>
  </si>
  <si>
    <t>(COOH)</t>
  </si>
  <si>
    <t>(CH2CN)</t>
  </si>
  <si>
    <t>(CH3CN)</t>
  </si>
  <si>
    <t>(C5H3N)</t>
  </si>
  <si>
    <t>(C5H5N)</t>
  </si>
  <si>
    <t>(C5H4N)</t>
  </si>
  <si>
    <t>(ACNH2)</t>
  </si>
  <si>
    <t>(CH2N)</t>
  </si>
  <si>
    <t>(CH3N)</t>
  </si>
  <si>
    <t>(CHNH)</t>
  </si>
  <si>
    <t>(CH3NH)</t>
  </si>
  <si>
    <t>(CH2NH)</t>
  </si>
  <si>
    <t>(CHNH2)</t>
  </si>
  <si>
    <t>(CH3NH2)</t>
  </si>
  <si>
    <t>(CH2NH2)</t>
  </si>
  <si>
    <t>(FCH2O)</t>
  </si>
  <si>
    <t>(CH3O)</t>
  </si>
  <si>
    <t>(CH-O)</t>
  </si>
  <si>
    <t>(CH2O)</t>
  </si>
  <si>
    <t>(HCOO)</t>
  </si>
  <si>
    <t>(CH2COO)</t>
  </si>
  <si>
    <t>(CH3COO)</t>
  </si>
  <si>
    <t>(CHO)</t>
  </si>
  <si>
    <t>(CH2CO)</t>
  </si>
  <si>
    <t>(CH3CO)</t>
  </si>
  <si>
    <t>(ACOH)</t>
  </si>
  <si>
    <t>(H2O)</t>
  </si>
  <si>
    <t>(CH3OH)</t>
  </si>
  <si>
    <t>(OH)</t>
  </si>
  <si>
    <t>(ACCH)</t>
  </si>
  <si>
    <t>(ACCH3)</t>
  </si>
  <si>
    <t>(ACCH2)</t>
  </si>
  <si>
    <t>(AC)</t>
  </si>
  <si>
    <t>(ACH)</t>
  </si>
  <si>
    <t>(C=C)</t>
  </si>
  <si>
    <t>(CH2=CH)</t>
  </si>
  <si>
    <t>(CH=C)</t>
  </si>
  <si>
    <t>(CH2=C)</t>
  </si>
  <si>
    <t>(CH=CH)</t>
  </si>
  <si>
    <t>(C)</t>
  </si>
  <si>
    <t>(CH3)</t>
  </si>
  <si>
    <t>(CH)</t>
  </si>
  <si>
    <t>(CH2)</t>
  </si>
  <si>
    <t>UNIFAC</t>
  </si>
  <si>
    <t>fin</t>
  </si>
  <si>
    <t/>
  </si>
  <si>
    <t>Infinity Dil.</t>
  </si>
  <si>
    <t>Liq-Liq</t>
  </si>
  <si>
    <t>Liq-Vap</t>
  </si>
  <si>
    <t>A-UNIFAC</t>
  </si>
  <si>
    <t>Models</t>
  </si>
  <si>
    <t>Parameters table</t>
  </si>
  <si>
    <t>Model:</t>
  </si>
  <si>
    <t>Paremeters table:</t>
  </si>
  <si>
    <t>Number of components:</t>
  </si>
  <si>
    <t>Group</t>
  </si>
  <si>
    <t>Choose</t>
  </si>
  <si>
    <t>-</t>
  </si>
  <si>
    <t>Number of groups</t>
  </si>
  <si>
    <t>r</t>
  </si>
  <si>
    <t>q</t>
  </si>
  <si>
    <t>Flash</t>
  </si>
  <si>
    <t>Conditions</t>
  </si>
  <si>
    <t>T[K]</t>
  </si>
  <si>
    <t>P[atm]</t>
  </si>
  <si>
    <t>z1</t>
  </si>
  <si>
    <t>z2</t>
  </si>
  <si>
    <t>Comp.</t>
  </si>
  <si>
    <t>x(i)</t>
  </si>
  <si>
    <t>Ln Gamma</t>
  </si>
  <si>
    <t>Gamma</t>
  </si>
  <si>
    <t>Phase 1</t>
  </si>
  <si>
    <t>Component 1</t>
  </si>
  <si>
    <t>Component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</si>
</sst>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1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0" xfId="0" applyFill="1" applyProtection="1"/>
    <xf numFmtId="0" fontId="0" fillId="2" borderId="0" xfId="0" applyFill="1" applyAlignment="1" applyProtection="1">
      <alignment wrapText="1"/>
    </xf>
    <xf numFmtId="0" fontId="2" fillId="3" borderId="2" xfId="0" applyFont="1" applyFill="1" applyBorder="1" applyAlignment="1" applyProtection="1">
      <alignment horizontal="center" vertical="center"/>
    </xf>
    <xf numFmtId="0" fontId="3" fillId="3" borderId="4" xfId="0" applyFont="1" applyFill="1" applyBorder="1" applyProtection="1"/>
    <xf numFmtId="0" fontId="0" fillId="4" borderId="3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3" fillId="3" borderId="3" xfId="0" applyFont="1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5" xfId="0" applyFill="1" applyBorder="1" applyProtection="1"/>
    <xf numFmtId="0" fontId="0" fillId="4" borderId="0" xfId="0" applyFill="1" applyBorder="1" applyProtection="1"/>
    <xf numFmtId="0" fontId="0" fillId="4" borderId="7" xfId="0" applyFill="1" applyBorder="1" applyProtection="1"/>
    <xf numFmtId="0" fontId="3" fillId="3" borderId="6" xfId="0" applyFont="1" applyFill="1" applyBorder="1" applyProtection="1"/>
    <xf numFmtId="0" fontId="4" fillId="2" borderId="0" xfId="0" applyFont="1" applyFill="1" applyProtection="1"/>
    <xf numFmtId="0" fontId="0" fillId="4" borderId="2" xfId="0" applyFill="1" applyBorder="1" applyAlignment="1" applyProtection="1">
      <alignment horizontal="left" vertical="center"/>
    </xf>
    <xf numFmtId="0" fontId="0" fillId="4" borderId="5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4" borderId="7" xfId="0" applyFill="1" applyBorder="1" applyAlignment="1" applyProtection="1">
      <alignment horizontal="left" vertical="center"/>
    </xf>
    <xf numFmtId="0" fontId="3" fillId="3" borderId="5" xfId="0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0</xdr:rowOff>
        </xdr:from>
        <xdr:to>
          <xdr:col>10</xdr:col>
          <xdr:colOff>19050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0</xdr:rowOff>
        </xdr:from>
        <xdr:to>
          <xdr:col>12</xdr:col>
          <xdr:colOff>38100</xdr:colOff>
          <xdr:row>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0</xdr:rowOff>
        </xdr:from>
        <xdr:to>
          <xdr:col>14</xdr:col>
          <xdr:colOff>57150</xdr:colOff>
          <xdr:row>2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Run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0</xdr:rowOff>
        </xdr:from>
        <xdr:to>
          <xdr:col>16</xdr:col>
          <xdr:colOff>66675</xdr:colOff>
          <xdr:row>2</xdr:row>
          <xdr:rowOff>19050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95251</xdr:colOff>
      <xdr:row>3</xdr:row>
      <xdr:rowOff>0</xdr:rowOff>
    </xdr:from>
    <xdr:to>
      <xdr:col>15</xdr:col>
      <xdr:colOff>657226</xdr:colOff>
      <xdr:row>10</xdr:row>
      <xdr:rowOff>17495</xdr:rowOff>
    </xdr:to>
    <xdr:pic>
      <xdr:nvPicPr>
        <xdr:cNvPr id="7" name="Imagen 6" descr="Pulegone Structural Formulae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15501" y="1181100"/>
          <a:ext cx="2647950" cy="13509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30"/>
  <sheetViews>
    <sheetView tabSelected="1" topLeftCell="A15" workbookViewId="0">
      <selection activeCell="H31" sqref="H31"/>
    </sheetView>
  </sheetViews>
  <sheetFormatPr baseColWidth="10" defaultColWidth="9.140625" defaultRowHeight="15" x14ac:dyDescent="0.25"/>
  <cols>
    <col min="1" max="1" width="23.28515625" style="5" bestFit="1" customWidth="1"/>
    <col min="2" max="2" width="16.7109375" style="5" customWidth="1"/>
    <col min="3" max="18" width="10.42578125" style="5" customWidth="1"/>
    <col min="19" max="16384" width="9.140625" style="5"/>
  </cols>
  <sheetData>
    <row r="1" spans="1:12" ht="17.45" customHeight="1" thickBot="1" x14ac:dyDescent="0.3">
      <c r="A1" s="7" t="s">
        <v>2</v>
      </c>
      <c r="B1" s="19" t="s">
        <v>3</v>
      </c>
      <c r="C1" s="19"/>
      <c r="D1" s="19"/>
      <c r="E1" s="19"/>
      <c r="F1" s="19"/>
      <c r="G1" s="19"/>
      <c r="H1" s="19"/>
    </row>
    <row r="2" spans="1:12" ht="17.45" customHeight="1" thickBot="1" x14ac:dyDescent="0.3">
      <c r="A2" s="7" t="s">
        <v>0</v>
      </c>
      <c r="B2" s="19" t="s">
        <v>1</v>
      </c>
      <c r="C2" s="19"/>
      <c r="D2" s="19"/>
      <c r="E2" s="19"/>
      <c r="F2" s="19"/>
      <c r="G2" s="19"/>
      <c r="H2" s="19"/>
    </row>
    <row r="3" spans="1:12" x14ac:dyDescent="0.25">
      <c r="A3" s="6"/>
    </row>
    <row r="4" spans="1:12" x14ac:dyDescent="0.25">
      <c r="A4" s="12" t="s">
        <v>113</v>
      </c>
      <c r="B4" s="13" t="s">
        <v>104</v>
      </c>
    </row>
    <row r="5" spans="1:12" x14ac:dyDescent="0.25">
      <c r="A5" s="12" t="s">
        <v>114</v>
      </c>
      <c r="B5" s="13">
        <v>2</v>
      </c>
      <c r="C5" s="5" t="str">
        <f>IF(B5=1,"liq-liq",IF(B5=2,"liq-vapor","Infinity dil."))</f>
        <v>liq-vapor</v>
      </c>
    </row>
    <row r="6" spans="1:12" x14ac:dyDescent="0.25">
      <c r="A6" s="8" t="s">
        <v>115</v>
      </c>
      <c r="B6" s="11">
        <v>2</v>
      </c>
    </row>
    <row r="8" spans="1:12" x14ac:dyDescent="0.25">
      <c r="A8" s="20" t="s">
        <v>133</v>
      </c>
      <c r="B8" s="14" t="s">
        <v>116</v>
      </c>
      <c r="C8" s="14" t="s">
        <v>101</v>
      </c>
      <c r="D8" s="14" t="s">
        <v>103</v>
      </c>
      <c r="E8" s="14" t="s">
        <v>102</v>
      </c>
      <c r="F8" s="14" t="s">
        <v>84</v>
      </c>
      <c r="G8" s="14" t="s">
        <v>99</v>
      </c>
      <c r="H8" s="14" t="s">
        <v>117</v>
      </c>
      <c r="I8" s="14" t="s">
        <v>117</v>
      </c>
      <c r="J8" s="14" t="s">
        <v>117</v>
      </c>
      <c r="K8" s="14" t="s">
        <v>117</v>
      </c>
      <c r="L8" s="14" t="s">
        <v>117</v>
      </c>
    </row>
    <row r="9" spans="1:12" x14ac:dyDescent="0.25">
      <c r="A9" s="21"/>
      <c r="B9" s="15" t="s">
        <v>119</v>
      </c>
      <c r="C9" s="15">
        <v>1</v>
      </c>
      <c r="D9" s="15">
        <v>2</v>
      </c>
      <c r="E9" s="15">
        <v>1</v>
      </c>
      <c r="F9" s="15">
        <v>1</v>
      </c>
      <c r="G9" s="15">
        <v>1</v>
      </c>
      <c r="H9" s="15" t="s">
        <v>118</v>
      </c>
      <c r="I9" s="15" t="s">
        <v>118</v>
      </c>
      <c r="J9" s="15" t="s">
        <v>118</v>
      </c>
      <c r="K9" s="15" t="s">
        <v>118</v>
      </c>
      <c r="L9" s="15" t="s">
        <v>118</v>
      </c>
    </row>
    <row r="10" spans="1:12" x14ac:dyDescent="0.25">
      <c r="A10" s="20" t="s">
        <v>134</v>
      </c>
      <c r="B10" s="14" t="s">
        <v>116</v>
      </c>
      <c r="C10" s="14" t="s">
        <v>101</v>
      </c>
      <c r="D10" s="14" t="s">
        <v>103</v>
      </c>
      <c r="E10" s="14" t="s">
        <v>117</v>
      </c>
      <c r="F10" s="14" t="s">
        <v>117</v>
      </c>
      <c r="G10" s="14" t="s">
        <v>117</v>
      </c>
      <c r="H10" s="14" t="s">
        <v>117</v>
      </c>
      <c r="I10" s="14" t="s">
        <v>117</v>
      </c>
      <c r="J10" s="14" t="s">
        <v>117</v>
      </c>
      <c r="K10" s="14" t="s">
        <v>117</v>
      </c>
      <c r="L10" s="14" t="s">
        <v>117</v>
      </c>
    </row>
    <row r="11" spans="1:12" x14ac:dyDescent="0.25">
      <c r="A11" s="22"/>
      <c r="B11" s="16" t="s">
        <v>119</v>
      </c>
      <c r="C11" s="16">
        <v>2</v>
      </c>
      <c r="D11" s="16">
        <v>4</v>
      </c>
      <c r="E11" s="16" t="s">
        <v>118</v>
      </c>
      <c r="F11" s="16" t="s">
        <v>118</v>
      </c>
      <c r="G11" s="16" t="s">
        <v>118</v>
      </c>
      <c r="H11" s="16" t="s">
        <v>118</v>
      </c>
      <c r="I11" s="16" t="s">
        <v>118</v>
      </c>
      <c r="J11" s="16" t="s">
        <v>118</v>
      </c>
      <c r="K11" s="16" t="s">
        <v>118</v>
      </c>
      <c r="L11" s="16" t="s">
        <v>118</v>
      </c>
    </row>
    <row r="13" spans="1:12" x14ac:dyDescent="0.25">
      <c r="A13" s="18">
        <v>5</v>
      </c>
      <c r="B13" s="12" t="s">
        <v>101</v>
      </c>
      <c r="C13" s="12" t="s">
        <v>103</v>
      </c>
      <c r="D13" s="12" t="s">
        <v>102</v>
      </c>
      <c r="E13" s="12" t="s">
        <v>84</v>
      </c>
      <c r="F13" s="17" t="s">
        <v>99</v>
      </c>
    </row>
    <row r="14" spans="1:12" x14ac:dyDescent="0.25">
      <c r="A14" s="12" t="s">
        <v>120</v>
      </c>
      <c r="B14" s="9">
        <v>0.90100000000000002</v>
      </c>
      <c r="C14" s="9">
        <v>0.67400000000000004</v>
      </c>
      <c r="D14" s="9">
        <v>0.44700000000000001</v>
      </c>
      <c r="E14" s="9">
        <v>1.446</v>
      </c>
      <c r="F14" s="13">
        <v>1.117</v>
      </c>
    </row>
    <row r="15" spans="1:12" x14ac:dyDescent="0.25">
      <c r="A15" s="12" t="s">
        <v>121</v>
      </c>
      <c r="B15" s="9">
        <v>0.84799999999999998</v>
      </c>
      <c r="C15" s="9">
        <v>0.54</v>
      </c>
      <c r="D15" s="9">
        <v>0.22800000000000001</v>
      </c>
      <c r="E15" s="9">
        <v>1.18</v>
      </c>
      <c r="F15" s="13">
        <v>0.86699999999999999</v>
      </c>
    </row>
    <row r="16" spans="1:12" x14ac:dyDescent="0.25">
      <c r="A16" s="12" t="s">
        <v>101</v>
      </c>
      <c r="B16" s="9">
        <v>0</v>
      </c>
      <c r="C16" s="9">
        <v>0</v>
      </c>
      <c r="D16" s="9">
        <v>0</v>
      </c>
      <c r="E16" s="9">
        <v>476.4</v>
      </c>
      <c r="F16" s="13">
        <v>85</v>
      </c>
    </row>
    <row r="17" spans="1:9" x14ac:dyDescent="0.25">
      <c r="A17" s="12" t="s">
        <v>103</v>
      </c>
      <c r="B17" s="9">
        <v>0</v>
      </c>
      <c r="C17" s="9">
        <v>0</v>
      </c>
      <c r="D17" s="9">
        <v>0</v>
      </c>
      <c r="E17" s="9">
        <v>476.4</v>
      </c>
      <c r="F17" s="13">
        <v>85</v>
      </c>
    </row>
    <row r="18" spans="1:9" x14ac:dyDescent="0.25">
      <c r="A18" s="12" t="s">
        <v>102</v>
      </c>
      <c r="B18" s="9">
        <v>0</v>
      </c>
      <c r="C18" s="9">
        <v>0</v>
      </c>
      <c r="D18" s="9">
        <v>0</v>
      </c>
      <c r="E18" s="9">
        <v>476.4</v>
      </c>
      <c r="F18" s="13">
        <v>85</v>
      </c>
    </row>
    <row r="19" spans="1:9" x14ac:dyDescent="0.25">
      <c r="A19" s="12" t="s">
        <v>84</v>
      </c>
      <c r="B19" s="9">
        <v>26.76</v>
      </c>
      <c r="C19" s="9">
        <v>26.76</v>
      </c>
      <c r="D19" s="9">
        <v>26.76</v>
      </c>
      <c r="E19" s="9">
        <v>0</v>
      </c>
      <c r="F19" s="13">
        <v>42.92</v>
      </c>
    </row>
    <row r="20" spans="1:9" x14ac:dyDescent="0.25">
      <c r="A20" s="12" t="s">
        <v>99</v>
      </c>
      <c r="B20" s="9">
        <v>-35.36</v>
      </c>
      <c r="C20" s="9">
        <v>-35.36</v>
      </c>
      <c r="D20" s="9">
        <v>-35.36</v>
      </c>
      <c r="E20" s="9">
        <v>182.6</v>
      </c>
      <c r="F20" s="13">
        <v>0</v>
      </c>
    </row>
    <row r="21" spans="1:9" x14ac:dyDescent="0.25">
      <c r="A21" s="12" t="s">
        <v>133</v>
      </c>
      <c r="B21" s="9">
        <v>1</v>
      </c>
      <c r="C21" s="9">
        <v>2</v>
      </c>
      <c r="D21" s="9">
        <v>1</v>
      </c>
      <c r="E21" s="9">
        <v>1</v>
      </c>
      <c r="F21" s="13">
        <v>1</v>
      </c>
    </row>
    <row r="22" spans="1:9" x14ac:dyDescent="0.25">
      <c r="A22" s="8" t="s">
        <v>134</v>
      </c>
      <c r="B22" s="10">
        <v>2</v>
      </c>
      <c r="C22" s="10">
        <v>4</v>
      </c>
      <c r="D22" s="10">
        <v>0</v>
      </c>
      <c r="E22" s="10">
        <v>0</v>
      </c>
      <c r="F22" s="11">
        <v>0</v>
      </c>
    </row>
    <row r="24" spans="1:9" x14ac:dyDescent="0.25">
      <c r="B24" s="17" t="s">
        <v>123</v>
      </c>
      <c r="H24" s="17" t="s">
        <v>132</v>
      </c>
    </row>
    <row r="25" spans="1:9" x14ac:dyDescent="0.25">
      <c r="A25" s="23" t="s">
        <v>122</v>
      </c>
      <c r="B25" s="12" t="s">
        <v>124</v>
      </c>
      <c r="C25" s="12" t="s">
        <v>125</v>
      </c>
      <c r="D25" s="12" t="s">
        <v>126</v>
      </c>
      <c r="E25" s="17" t="s">
        <v>127</v>
      </c>
      <c r="G25" s="12" t="s">
        <v>128</v>
      </c>
      <c r="H25" s="12">
        <v>1</v>
      </c>
      <c r="I25" s="17">
        <v>2</v>
      </c>
    </row>
    <row r="26" spans="1:9" x14ac:dyDescent="0.25">
      <c r="A26" s="24"/>
      <c r="B26" s="10">
        <v>333</v>
      </c>
      <c r="C26" s="10">
        <v>1</v>
      </c>
      <c r="D26" s="10">
        <v>0</v>
      </c>
      <c r="E26" s="11">
        <v>1</v>
      </c>
      <c r="G26" s="12" t="s">
        <v>129</v>
      </c>
      <c r="H26" s="9">
        <v>0</v>
      </c>
      <c r="I26" s="13">
        <v>1</v>
      </c>
    </row>
    <row r="27" spans="1:9" x14ac:dyDescent="0.25">
      <c r="G27" s="12" t="s">
        <v>130</v>
      </c>
      <c r="H27" s="9">
        <v>1.0401691200000001</v>
      </c>
      <c r="I27" s="13">
        <v>0</v>
      </c>
    </row>
    <row r="28" spans="1:9" x14ac:dyDescent="0.25">
      <c r="G28" s="8" t="s">
        <v>131</v>
      </c>
      <c r="H28" s="10">
        <v>2.8296955319953381</v>
      </c>
      <c r="I28" s="11">
        <v>1</v>
      </c>
    </row>
    <row r="30" spans="1:9" x14ac:dyDescent="0.25">
      <c r="H30" s="5">
        <f>1/H28</f>
        <v>0.35339491075736251</v>
      </c>
    </row>
  </sheetData>
  <mergeCells count="5">
    <mergeCell ref="A25:A26"/>
    <mergeCell ref="B1:H1"/>
    <mergeCell ref="B2:H2"/>
    <mergeCell ref="A8:A9"/>
    <mergeCell ref="A10:A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harge_problem">
                <anchor moveWithCells="1" sizeWithCells="1">
                  <from>
                    <xdr:col>8</xdr:col>
                    <xdr:colOff>19050</xdr:colOff>
                    <xdr:row>0</xdr:row>
                    <xdr:rowOff>0</xdr:rowOff>
                  </from>
                  <to>
                    <xdr:col>10</xdr:col>
                    <xdr:colOff>19050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Hoja1.LeerBases1">
                <anchor moveWithCells="1" sizeWithCells="1">
                  <from>
                    <xdr:col>10</xdr:col>
                    <xdr:colOff>28575</xdr:colOff>
                    <xdr:row>0</xdr:row>
                    <xdr:rowOff>0</xdr:rowOff>
                  </from>
                  <to>
                    <xdr:col>12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Hoja1.Main">
                <anchor moveWithCells="1" sizeWithCells="1">
                  <from>
                    <xdr:col>12</xdr:col>
                    <xdr:colOff>47625</xdr:colOff>
                    <xdr:row>0</xdr:row>
                    <xdr:rowOff>0</xdr:rowOff>
                  </from>
                  <to>
                    <xdr:col>14</xdr:col>
                    <xdr:colOff>57150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Hoja1.reset">
                <anchor moveWithCells="1" sizeWithCells="1">
                  <from>
                    <xdr:col>14</xdr:col>
                    <xdr:colOff>57150</xdr:colOff>
                    <xdr:row>0</xdr:row>
                    <xdr:rowOff>0</xdr:rowOff>
                  </from>
                  <to>
                    <xdr:col>16</xdr:col>
                    <xdr:colOff>66675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gruposram!$D$3:$D$4</xm:f>
          </x14:formula1>
          <xm:sqref>B4</xm:sqref>
        </x14:dataValidation>
        <x14:dataValidation type="list" allowBlank="1" showInputMessage="1" showErrorMessage="1">
          <x14:formula1>
            <xm:f>gruposram!$E$3:$E$5</xm:f>
          </x14:formula1>
          <xm:sqref>B5</xm:sqref>
        </x14:dataValidation>
        <x14:dataValidation type="list" allowBlank="1" showInputMessage="1" showErrorMessage="1">
          <x14:formula1>
            <xm:f>gruposram!$B$1:$B$101</xm:f>
          </x14:formula1>
          <xm:sqref>C10:L10 C8:L8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03"/>
  <sheetViews>
    <sheetView workbookViewId="0">
      <selection activeCell="D3" sqref="D3"/>
    </sheetView>
  </sheetViews>
  <sheetFormatPr baseColWidth="10" defaultColWidth="11.5703125" defaultRowHeight="15" x14ac:dyDescent="0.25"/>
  <cols>
    <col min="1" max="3" width="9.85546875" bestFit="1" customWidth="1"/>
    <col min="4" max="4" width="28.5703125" customWidth="1"/>
    <col min="5" max="5" width="10.85546875" bestFit="1" customWidth="1"/>
    <col min="6" max="6" width="2" bestFit="1" customWidth="1"/>
    <col min="7" max="7" width="2.140625" bestFit="1" customWidth="1"/>
    <col min="8" max="8" width="2" bestFit="1" customWidth="1"/>
    <col min="9" max="9" width="2.28515625" bestFit="1" customWidth="1"/>
    <col min="10" max="15" width="14.85546875" bestFit="1" customWidth="1"/>
    <col min="16" max="16" width="15.5703125" bestFit="1" customWidth="1"/>
    <col min="17" max="18" width="14.85546875" bestFit="1" customWidth="1"/>
    <col min="19" max="23" width="3.85546875" bestFit="1" customWidth="1"/>
  </cols>
  <sheetData>
    <row r="1" spans="1:23" x14ac:dyDescent="0.25">
      <c r="A1" t="s">
        <v>108</v>
      </c>
      <c r="B1" t="s">
        <v>109</v>
      </c>
      <c r="C1" t="s">
        <v>107</v>
      </c>
      <c r="D1" t="s">
        <v>111</v>
      </c>
      <c r="E1" t="s">
        <v>112</v>
      </c>
    </row>
    <row r="2" spans="1:23" x14ac:dyDescent="0.25">
      <c r="A2" s="1"/>
      <c r="B2" s="1"/>
      <c r="C2" s="1"/>
      <c r="D2" s="1"/>
      <c r="E2" s="1"/>
      <c r="F2" s="1"/>
      <c r="G2" s="1"/>
      <c r="H2" s="1"/>
      <c r="I2" s="1"/>
      <c r="J2" s="3"/>
      <c r="K2" s="3"/>
      <c r="L2" s="3"/>
      <c r="M2" s="3"/>
      <c r="N2" s="3"/>
      <c r="O2" s="3"/>
      <c r="P2" s="3"/>
      <c r="Q2" s="3"/>
      <c r="R2" s="1"/>
      <c r="S2" s="2"/>
      <c r="T2" s="2"/>
      <c r="U2" s="2"/>
      <c r="V2" s="2"/>
      <c r="W2" s="2"/>
    </row>
    <row r="3" spans="1:23" x14ac:dyDescent="0.25">
      <c r="A3" s="4" t="s">
        <v>101</v>
      </c>
      <c r="B3" s="1" t="s">
        <v>101</v>
      </c>
      <c r="C3" s="1" t="s">
        <v>101</v>
      </c>
      <c r="D3" s="1" t="s">
        <v>104</v>
      </c>
      <c r="E3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25">
      <c r="A4" s="4" t="s">
        <v>103</v>
      </c>
      <c r="B4" s="1" t="s">
        <v>103</v>
      </c>
      <c r="C4" s="1" t="s">
        <v>103</v>
      </c>
      <c r="D4" s="1" t="s">
        <v>110</v>
      </c>
      <c r="E4">
        <v>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25">
      <c r="A5" s="4" t="s">
        <v>102</v>
      </c>
      <c r="B5" s="1" t="s">
        <v>102</v>
      </c>
      <c r="C5" s="1" t="s">
        <v>102</v>
      </c>
      <c r="D5" s="1"/>
      <c r="E5">
        <v>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25">
      <c r="A6" s="4" t="s">
        <v>100</v>
      </c>
      <c r="B6" s="1" t="s">
        <v>100</v>
      </c>
      <c r="C6" s="1" t="s">
        <v>100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25">
      <c r="A7" s="4" t="s">
        <v>96</v>
      </c>
      <c r="B7" s="1" t="s">
        <v>96</v>
      </c>
      <c r="C7" s="1" t="s">
        <v>96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25">
      <c r="A8" s="4" t="s">
        <v>99</v>
      </c>
      <c r="B8" s="1" t="s">
        <v>99</v>
      </c>
      <c r="C8" s="1" t="s">
        <v>99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25">
      <c r="A9" s="4" t="s">
        <v>97</v>
      </c>
      <c r="B9" s="1" t="s">
        <v>98</v>
      </c>
      <c r="C9" s="1" t="s">
        <v>98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25">
      <c r="A10" s="4" t="s">
        <v>98</v>
      </c>
      <c r="B10" s="1" t="s">
        <v>97</v>
      </c>
      <c r="C10" s="1" t="s">
        <v>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5">
      <c r="A11" s="4" t="s">
        <v>94</v>
      </c>
      <c r="B11" s="1" t="s">
        <v>95</v>
      </c>
      <c r="C11" s="1" t="s">
        <v>95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5">
      <c r="A12" s="4" t="s">
        <v>93</v>
      </c>
      <c r="B12" s="1" t="s">
        <v>94</v>
      </c>
      <c r="C12" s="1" t="s">
        <v>94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5">
      <c r="A13" s="4" t="s">
        <v>91</v>
      </c>
      <c r="B13" s="1" t="s">
        <v>93</v>
      </c>
      <c r="C13" s="1" t="s">
        <v>93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5">
      <c r="A14" s="4" t="s">
        <v>92</v>
      </c>
      <c r="B14" s="1" t="s">
        <v>91</v>
      </c>
      <c r="C14" s="1" t="s">
        <v>91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25">
      <c r="A15" s="4" t="s">
        <v>90</v>
      </c>
      <c r="B15" s="1" t="s">
        <v>92</v>
      </c>
      <c r="C15" s="1" t="s">
        <v>92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25">
      <c r="A16" s="4" t="s">
        <v>89</v>
      </c>
      <c r="B16" s="1" t="s">
        <v>90</v>
      </c>
      <c r="C16" s="1" t="s">
        <v>90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25">
      <c r="A17" s="4" t="s">
        <v>18</v>
      </c>
      <c r="B17" s="1" t="s">
        <v>89</v>
      </c>
      <c r="C17" s="1" t="s">
        <v>89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25">
      <c r="A18" s="4" t="s">
        <v>17</v>
      </c>
      <c r="B18" s="1" t="s">
        <v>88</v>
      </c>
      <c r="C18" s="1" t="s">
        <v>88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25">
      <c r="A19" s="4" t="s">
        <v>87</v>
      </c>
      <c r="B19" s="1" t="s">
        <v>87</v>
      </c>
      <c r="C19" s="1" t="s">
        <v>87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5">
      <c r="A20" s="4" t="s">
        <v>86</v>
      </c>
      <c r="B20" s="1" t="s">
        <v>86</v>
      </c>
      <c r="C20" s="1" t="s">
        <v>86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4" t="s">
        <v>85</v>
      </c>
      <c r="B21" s="1" t="s">
        <v>85</v>
      </c>
      <c r="C21" s="1" t="s">
        <v>85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4" t="s">
        <v>84</v>
      </c>
      <c r="B22" s="1" t="s">
        <v>84</v>
      </c>
      <c r="C22" s="1" t="s">
        <v>84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4" t="s">
        <v>83</v>
      </c>
      <c r="B23" s="1" t="s">
        <v>83</v>
      </c>
      <c r="C23" s="1" t="s">
        <v>83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4" t="s">
        <v>42</v>
      </c>
      <c r="B24" s="1" t="s">
        <v>82</v>
      </c>
      <c r="C24" s="1" t="s">
        <v>82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4" t="s">
        <v>61</v>
      </c>
      <c r="B25" s="1" t="s">
        <v>81</v>
      </c>
      <c r="C25" s="1" t="s">
        <v>81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4" t="s">
        <v>60</v>
      </c>
      <c r="B26" s="1" t="s">
        <v>80</v>
      </c>
      <c r="C26" s="1" t="s">
        <v>80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4" t="s">
        <v>82</v>
      </c>
      <c r="B27" s="1" t="s">
        <v>77</v>
      </c>
      <c r="C27" s="1" t="s">
        <v>77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4" t="s">
        <v>81</v>
      </c>
      <c r="B28" s="1" t="s">
        <v>79</v>
      </c>
      <c r="C28" s="1" t="s">
        <v>79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4" t="s">
        <v>77</v>
      </c>
      <c r="B29" s="1" t="s">
        <v>78</v>
      </c>
      <c r="C29" s="1" t="s">
        <v>78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4" t="s">
        <v>79</v>
      </c>
      <c r="B30" s="1" t="s">
        <v>76</v>
      </c>
      <c r="C30" s="1" t="s">
        <v>76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4" t="s">
        <v>78</v>
      </c>
      <c r="B31" s="1" t="s">
        <v>74</v>
      </c>
      <c r="C31" s="1" t="s">
        <v>74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4" t="s">
        <v>76</v>
      </c>
      <c r="B32" s="1" t="s">
        <v>75</v>
      </c>
      <c r="C32" s="1" t="s">
        <v>75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4" t="s">
        <v>58</v>
      </c>
      <c r="B33" s="1" t="s">
        <v>73</v>
      </c>
      <c r="C33" s="1" t="s">
        <v>73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4" t="s">
        <v>59</v>
      </c>
      <c r="B34" s="1" t="s">
        <v>71</v>
      </c>
      <c r="C34" s="1" t="s">
        <v>69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4" t="s">
        <v>57</v>
      </c>
      <c r="B35" s="1" t="s">
        <v>72</v>
      </c>
      <c r="C35" s="1" t="s">
        <v>68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4" t="s">
        <v>55</v>
      </c>
      <c r="B36" s="1" t="s">
        <v>70</v>
      </c>
      <c r="C36" s="1" t="s">
        <v>67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4" t="s">
        <v>56</v>
      </c>
      <c r="B37" s="1" t="s">
        <v>69</v>
      </c>
      <c r="C37" s="1" t="s">
        <v>65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4" t="s">
        <v>54</v>
      </c>
      <c r="B38" s="1" t="s">
        <v>68</v>
      </c>
      <c r="C38" s="1" t="s">
        <v>66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4" t="s">
        <v>53</v>
      </c>
      <c r="B39" s="1" t="s">
        <v>67</v>
      </c>
      <c r="C39" s="1" t="s">
        <v>64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4" t="s">
        <v>52</v>
      </c>
      <c r="B40" s="1" t="s">
        <v>65</v>
      </c>
      <c r="C40" s="1" t="s">
        <v>5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4" t="s">
        <v>51</v>
      </c>
      <c r="B41" s="1" t="s">
        <v>66</v>
      </c>
      <c r="C41" s="1" t="s">
        <v>63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A42" s="4" t="s">
        <v>50</v>
      </c>
      <c r="B42" s="1" t="s">
        <v>64</v>
      </c>
      <c r="C42" s="1" t="s">
        <v>62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4" t="s">
        <v>63</v>
      </c>
      <c r="B43" s="1" t="s">
        <v>63</v>
      </c>
      <c r="C43" s="1" t="s">
        <v>58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4" t="s">
        <v>62</v>
      </c>
      <c r="B44" s="1" t="s">
        <v>62</v>
      </c>
      <c r="C44" s="1" t="s">
        <v>59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25">
      <c r="A45" s="4" t="s">
        <v>67</v>
      </c>
      <c r="B45" s="1" t="s">
        <v>61</v>
      </c>
      <c r="C45" s="1" t="s">
        <v>57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4" t="s">
        <v>48</v>
      </c>
      <c r="B46" s="1" t="s">
        <v>60</v>
      </c>
      <c r="C46" s="1" t="s">
        <v>55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4" t="s">
        <v>49</v>
      </c>
      <c r="B47" s="1" t="s">
        <v>58</v>
      </c>
      <c r="C47" s="1" t="s">
        <v>56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25">
      <c r="A48" s="4" t="s">
        <v>47</v>
      </c>
      <c r="B48" s="1" t="s">
        <v>59</v>
      </c>
      <c r="C48" s="1" t="s">
        <v>54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5">
      <c r="A49" s="4" t="s">
        <v>46</v>
      </c>
      <c r="B49" s="1" t="s">
        <v>57</v>
      </c>
      <c r="C49" s="1" t="s">
        <v>53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25">
      <c r="A50" s="4" t="s">
        <v>41</v>
      </c>
      <c r="B50" s="1" t="s">
        <v>55</v>
      </c>
      <c r="C50" s="1" t="s">
        <v>52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5">
      <c r="A51" s="4" t="s">
        <v>16</v>
      </c>
      <c r="B51" s="1" t="s">
        <v>56</v>
      </c>
      <c r="C51" s="1" t="s">
        <v>51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25">
      <c r="A52" s="4" t="s">
        <v>65</v>
      </c>
      <c r="B52" s="1" t="s">
        <v>54</v>
      </c>
      <c r="C52" s="1" t="s">
        <v>50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5">
      <c r="A53" s="4" t="s">
        <v>66</v>
      </c>
      <c r="B53" s="1" t="s">
        <v>53</v>
      </c>
      <c r="C53" s="1" t="s">
        <v>48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5">
      <c r="A54" s="4" t="s">
        <v>64</v>
      </c>
      <c r="B54" s="1" t="s">
        <v>52</v>
      </c>
      <c r="C54" s="1" t="s">
        <v>49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25">
      <c r="A55" s="4" t="s">
        <v>15</v>
      </c>
      <c r="B55" s="1" t="s">
        <v>51</v>
      </c>
      <c r="C55" s="1" t="s">
        <v>47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25">
      <c r="A56" s="4" t="s">
        <v>14</v>
      </c>
      <c r="B56" s="1" t="s">
        <v>50</v>
      </c>
      <c r="C56" s="1" t="s">
        <v>4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25">
      <c r="A57" s="4" t="s">
        <v>32</v>
      </c>
      <c r="B57" s="1" t="s">
        <v>48</v>
      </c>
      <c r="C57" s="1" t="s">
        <v>46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25">
      <c r="A58" s="4" t="s">
        <v>13</v>
      </c>
      <c r="B58" s="1" t="s">
        <v>49</v>
      </c>
      <c r="C58" s="1" t="s">
        <v>42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25">
      <c r="A59" s="4" t="s">
        <v>36</v>
      </c>
      <c r="B59" s="1" t="s">
        <v>47</v>
      </c>
      <c r="C59" s="1" t="s">
        <v>41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25">
      <c r="A60" s="4" t="s">
        <v>105</v>
      </c>
      <c r="B60" s="1" t="s">
        <v>46</v>
      </c>
      <c r="C60" s="1" t="s">
        <v>40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25">
      <c r="A61" s="1" t="s">
        <v>106</v>
      </c>
      <c r="B61" s="1" t="s">
        <v>45</v>
      </c>
      <c r="C61" s="1" t="s">
        <v>39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5">
      <c r="A62" s="1" t="s">
        <v>106</v>
      </c>
      <c r="B62" s="1" t="s">
        <v>44</v>
      </c>
      <c r="C62" s="1" t="s">
        <v>36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5">
      <c r="A63" s="1" t="s">
        <v>106</v>
      </c>
      <c r="B63" s="1" t="s">
        <v>43</v>
      </c>
      <c r="C63" s="1" t="s">
        <v>34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5">
      <c r="A64" s="1" t="s">
        <v>106</v>
      </c>
      <c r="B64" s="1" t="s">
        <v>42</v>
      </c>
      <c r="C64" s="1" t="s">
        <v>32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25">
      <c r="A65" s="1" t="s">
        <v>106</v>
      </c>
      <c r="B65" s="1" t="s">
        <v>41</v>
      </c>
      <c r="C65" s="1" t="s">
        <v>19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25">
      <c r="A66" s="1" t="s">
        <v>106</v>
      </c>
      <c r="B66" s="1" t="s">
        <v>40</v>
      </c>
      <c r="C66" s="1" t="s">
        <v>12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5">
      <c r="A67" s="1" t="s">
        <v>106</v>
      </c>
      <c r="B67" s="1" t="s">
        <v>39</v>
      </c>
      <c r="C67" s="1" t="s">
        <v>11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5">
      <c r="A68" s="1" t="s">
        <v>106</v>
      </c>
      <c r="B68" s="1" t="s">
        <v>38</v>
      </c>
      <c r="C68" s="1" t="s">
        <v>10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5">
      <c r="A69" s="1" t="s">
        <v>106</v>
      </c>
      <c r="B69" s="1" t="s">
        <v>37</v>
      </c>
      <c r="C69" s="1" t="s">
        <v>9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5">
      <c r="A70" s="1" t="s">
        <v>106</v>
      </c>
      <c r="B70" s="1" t="s">
        <v>36</v>
      </c>
      <c r="C70" s="1" t="s">
        <v>8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5">
      <c r="A71" s="1" t="s">
        <v>106</v>
      </c>
      <c r="B71" s="1" t="s">
        <v>35</v>
      </c>
      <c r="C71" s="1" t="s">
        <v>16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5">
      <c r="A72" s="1" t="s">
        <v>106</v>
      </c>
      <c r="B72" s="1" t="s">
        <v>34</v>
      </c>
      <c r="C72" s="1" t="s">
        <v>7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5">
      <c r="A73" s="1" t="s">
        <v>106</v>
      </c>
      <c r="B73" s="1" t="s">
        <v>33</v>
      </c>
      <c r="C73" s="1" t="s">
        <v>6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5">
      <c r="A74" s="1" t="s">
        <v>106</v>
      </c>
      <c r="B74" s="1" t="s">
        <v>32</v>
      </c>
      <c r="C74" s="1" t="s">
        <v>105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5">
      <c r="A75" s="1" t="s">
        <v>106</v>
      </c>
      <c r="B75" s="1" t="s">
        <v>31</v>
      </c>
      <c r="C75" s="1" t="s">
        <v>106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5">
      <c r="A76" s="1" t="s">
        <v>106</v>
      </c>
      <c r="B76" s="1" t="s">
        <v>29</v>
      </c>
      <c r="C76" s="1" t="s">
        <v>106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5">
      <c r="A77" s="1" t="s">
        <v>106</v>
      </c>
      <c r="B77" s="1" t="s">
        <v>30</v>
      </c>
      <c r="C77" s="1" t="s">
        <v>106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5">
      <c r="A78" s="1" t="s">
        <v>106</v>
      </c>
      <c r="B78" s="1" t="s">
        <v>28</v>
      </c>
      <c r="C78" s="1" t="s">
        <v>106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5">
      <c r="A79" s="1" t="s">
        <v>106</v>
      </c>
      <c r="B79" s="1" t="s">
        <v>27</v>
      </c>
      <c r="C79" s="1" t="s">
        <v>106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5">
      <c r="A80" s="1" t="s">
        <v>106</v>
      </c>
      <c r="B80" s="1" t="s">
        <v>24</v>
      </c>
      <c r="C80" s="1" t="s">
        <v>106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 t="s">
        <v>106</v>
      </c>
      <c r="B81" s="1" t="s">
        <v>26</v>
      </c>
      <c r="C81" s="1" t="s">
        <v>106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" t="s">
        <v>106</v>
      </c>
      <c r="B82" s="1" t="s">
        <v>25</v>
      </c>
      <c r="C82" s="1" t="s">
        <v>106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 t="s">
        <v>106</v>
      </c>
      <c r="B83" s="1" t="s">
        <v>23</v>
      </c>
      <c r="C83" s="1" t="s">
        <v>106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 t="s">
        <v>106</v>
      </c>
      <c r="B84" s="1" t="s">
        <v>21</v>
      </c>
      <c r="C84" s="1" t="s">
        <v>106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 t="s">
        <v>106</v>
      </c>
      <c r="B85" s="1" t="s">
        <v>22</v>
      </c>
      <c r="C85" s="1" t="s">
        <v>106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 t="s">
        <v>106</v>
      </c>
      <c r="B86" s="1" t="s">
        <v>20</v>
      </c>
      <c r="C86" s="1" t="s">
        <v>106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t="s">
        <v>106</v>
      </c>
      <c r="B87" s="1" t="s">
        <v>105</v>
      </c>
      <c r="C87" s="1" t="s">
        <v>106</v>
      </c>
    </row>
    <row r="88" spans="1:23" x14ac:dyDescent="0.25">
      <c r="A88" t="s">
        <v>106</v>
      </c>
      <c r="B88" s="1" t="s">
        <v>106</v>
      </c>
      <c r="C88" s="1" t="s">
        <v>106</v>
      </c>
    </row>
    <row r="89" spans="1:23" x14ac:dyDescent="0.25">
      <c r="A89" t="s">
        <v>106</v>
      </c>
      <c r="B89" s="1" t="s">
        <v>106</v>
      </c>
      <c r="C89" s="1" t="s">
        <v>106</v>
      </c>
    </row>
    <row r="90" spans="1:23" x14ac:dyDescent="0.25">
      <c r="A90" t="s">
        <v>106</v>
      </c>
      <c r="B90" s="1" t="s">
        <v>106</v>
      </c>
      <c r="C90" s="1" t="s">
        <v>106</v>
      </c>
    </row>
    <row r="91" spans="1:23" x14ac:dyDescent="0.25">
      <c r="A91" t="s">
        <v>106</v>
      </c>
      <c r="B91" s="1" t="s">
        <v>106</v>
      </c>
      <c r="C91" s="1" t="s">
        <v>106</v>
      </c>
    </row>
    <row r="92" spans="1:23" x14ac:dyDescent="0.25">
      <c r="A92" t="s">
        <v>106</v>
      </c>
      <c r="B92" s="1" t="s">
        <v>106</v>
      </c>
      <c r="C92" s="1" t="s">
        <v>106</v>
      </c>
    </row>
    <row r="93" spans="1:23" x14ac:dyDescent="0.25">
      <c r="A93" t="s">
        <v>106</v>
      </c>
      <c r="B93" s="1" t="s">
        <v>106</v>
      </c>
      <c r="C93" s="1" t="s">
        <v>106</v>
      </c>
    </row>
    <row r="94" spans="1:23" x14ac:dyDescent="0.25">
      <c r="A94" t="s">
        <v>106</v>
      </c>
      <c r="B94" s="1" t="s">
        <v>106</v>
      </c>
      <c r="C94" s="1" t="s">
        <v>106</v>
      </c>
    </row>
    <row r="95" spans="1:23" x14ac:dyDescent="0.25">
      <c r="A95" t="s">
        <v>106</v>
      </c>
      <c r="B95" s="1" t="s">
        <v>106</v>
      </c>
      <c r="C95" s="1" t="s">
        <v>106</v>
      </c>
    </row>
    <row r="96" spans="1:23" x14ac:dyDescent="0.25">
      <c r="A96" t="s">
        <v>106</v>
      </c>
      <c r="B96" s="1" t="s">
        <v>106</v>
      </c>
      <c r="C96" s="1" t="s">
        <v>106</v>
      </c>
    </row>
    <row r="97" spans="1:3" x14ac:dyDescent="0.25">
      <c r="A97" t="s">
        <v>106</v>
      </c>
      <c r="B97" s="1" t="s">
        <v>106</v>
      </c>
      <c r="C97" s="1" t="s">
        <v>106</v>
      </c>
    </row>
    <row r="98" spans="1:3" x14ac:dyDescent="0.25">
      <c r="A98" t="s">
        <v>106</v>
      </c>
      <c r="B98" s="1" t="s">
        <v>106</v>
      </c>
      <c r="C98" s="1" t="s">
        <v>106</v>
      </c>
    </row>
    <row r="99" spans="1:3" x14ac:dyDescent="0.25">
      <c r="A99" t="s">
        <v>106</v>
      </c>
      <c r="B99" s="1" t="s">
        <v>106</v>
      </c>
      <c r="C99" s="1" t="s">
        <v>106</v>
      </c>
    </row>
    <row r="100" spans="1:3" x14ac:dyDescent="0.25">
      <c r="A100" t="s">
        <v>106</v>
      </c>
      <c r="B100" s="1" t="s">
        <v>106</v>
      </c>
      <c r="C100" s="1" t="s">
        <v>106</v>
      </c>
    </row>
    <row r="101" spans="1:3" x14ac:dyDescent="0.25">
      <c r="A101" t="s">
        <v>106</v>
      </c>
      <c r="B101" s="1" t="s">
        <v>106</v>
      </c>
      <c r="C101" s="1" t="s">
        <v>106</v>
      </c>
    </row>
    <row r="102" spans="1:3" x14ac:dyDescent="0.25">
      <c r="A102" t="s">
        <v>106</v>
      </c>
      <c r="B102" s="1" t="s">
        <v>106</v>
      </c>
      <c r="C102" s="1" t="s">
        <v>106</v>
      </c>
    </row>
    <row r="103" spans="1:3" x14ac:dyDescent="0.25">
      <c r="A103" t="s">
        <v>106</v>
      </c>
      <c r="B103" s="1" t="s">
        <v>106</v>
      </c>
      <c r="C103" s="1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gruposram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Scilipoti</dc:creator>
  <cp:lastModifiedBy>Jose Scilipoti</cp:lastModifiedBy>
  <dcterms:created xsi:type="dcterms:W3CDTF">2015-06-05T18:19:34Z</dcterms:created>
  <dcterms:modified xsi:type="dcterms:W3CDTF">2019-05-28T14:36:54Z</dcterms:modified>
</cp:coreProperties>
</file>