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 Scilipoti\Dropbox\FACU\Termodinamica de reacciones\Software\Flash\"/>
    </mc:Choice>
  </mc:AlternateContent>
  <xr:revisionPtr revIDLastSave="0" documentId="13_ncr:1_{AD2DBF68-453D-4C16-896F-B06821E3C2B6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Input" sheetId="1" r:id="rId1"/>
    <sheet name="grupos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" l="1"/>
  <c r="E28" i="1" s="1"/>
  <c r="C5" i="1" l="1"/>
</calcChain>
</file>

<file path=xl/sharedStrings.xml><?xml version="1.0" encoding="utf-8"?>
<sst xmlns="http://schemas.openxmlformats.org/spreadsheetml/2006/main" count="407" uniqueCount="137">
  <si>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</si>
  <si>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</si>
  <si>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</si>
  <si>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</si>
  <si>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</si>
  <si>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</si>
  <si>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</si>
  <si>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</si>
  <si>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</si>
  <si>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</si>
  <si>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</si>
  <si>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</si>
  <si>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</si>
  <si>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</si>
  <si>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</si>
  <si>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</si>
  <si>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</si>
  <si>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</si>
  <si>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</si>
  <si>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</si>
  <si>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</si>
  <si>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</si>
  <si>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</si>
  <si>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</si>
  <si>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</si>
  <si>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</si>
  <si>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</si>
  <si>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</si>
  <si>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</si>
  <si>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</si>
  <si>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</si>
  <si>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</si>
  <si>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</si>
  <si>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</si>
  <si>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</si>
  <si>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</si>
  <si>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</si>
  <si>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</si>
  <si>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</si>
  <si>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</si>
  <si>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</si>
  <si>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</si>
  <si>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</si>
  <si>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</si>
  <si>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</si>
  <si>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</si>
  <si>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</si>
  <si>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</si>
  <si>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</si>
  <si>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</si>
  <si>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</si>
  <si>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</si>
  <si>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</si>
  <si>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</si>
  <si>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</si>
  <si>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</si>
  <si>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</si>
  <si>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</si>
  <si>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</si>
  <si>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</si>
  <si>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</si>
  <si>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</si>
  <si>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</si>
  <si>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</si>
  <si>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</si>
  <si>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</si>
  <si>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</si>
  <si>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</si>
  <si>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</si>
  <si>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</si>
  <si>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</si>
  <si>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</si>
  <si>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</si>
  <si>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</si>
  <si>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</si>
  <si>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</si>
  <si>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</si>
  <si>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</si>
  <si>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</si>
  <si>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</si>
  <si>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</si>
  <si>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</si>
  <si>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</si>
  <si>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</si>
  <si>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</si>
  <si>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</si>
  <si>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</si>
  <si>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</si>
  <si>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</si>
  <si>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</si>
  <si>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</si>
  <si>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</si>
  <si>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</si>
  <si>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</si>
  <si>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</si>
  <si>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</si>
  <si>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</si>
  <si>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</si>
  <si>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</si>
  <si>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</si>
  <si>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</si>
  <si>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</si>
  <si>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</si>
  <si>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</si>
  <si>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</si>
  <si>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</si>
  <si>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</si>
  <si>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</si>
  <si>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</si>
  <si>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</si>
  <si>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</si>
  <si>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</si>
  <si>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</si>
  <si>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</si>
  <si>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</si>
  <si>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</si>
  <si>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</si>
  <si>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</si>
  <si>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</si>
  <si>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</si>
  <si>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</si>
  <si>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</si>
  <si>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</si>
  <si>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</si>
  <si>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</si>
  <si>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</si>
  <si>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</si>
  <si>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</si>
  <si>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</si>
  <si>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</si>
  <si>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</si>
  <si>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</si>
  <si>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C:\Users\Jose Scilipoti\Dropbox\FACU\Termodinamica de reacciones\Software\Flash\</t>
  </si>
  <si>
    <t>z3</t>
  </si>
  <si>
    <t>Water</t>
  </si>
  <si>
    <t>Propionic Acid</t>
  </si>
  <si>
    <t>Cyclohexane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</si>
</sst>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30"/>
  <sheetViews>
    <sheetView tabSelected="1" workbookViewId="0">
      <selection activeCell="K30" sqref="K30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21" t="s">
        <v>2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132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112</v>
      </c>
      <c r="B4" s="13" t="s">
        <v>103</v>
      </c>
    </row>
    <row r="5" spans="1:12" x14ac:dyDescent="0.25">
      <c r="A5" s="12" t="s">
        <v>113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114</v>
      </c>
      <c r="B6" s="11">
        <v>3</v>
      </c>
    </row>
    <row r="8" spans="1:12" x14ac:dyDescent="0.25">
      <c r="A8" s="19" t="s">
        <v>134</v>
      </c>
      <c r="B8" s="14" t="s">
        <v>115</v>
      </c>
      <c r="C8" s="14" t="s">
        <v>86</v>
      </c>
      <c r="D8" s="14" t="s">
        <v>116</v>
      </c>
      <c r="E8" s="14" t="s">
        <v>116</v>
      </c>
      <c r="F8" s="14" t="s">
        <v>116</v>
      </c>
      <c r="G8" s="14" t="s">
        <v>116</v>
      </c>
      <c r="H8" s="14" t="s">
        <v>116</v>
      </c>
      <c r="I8" s="14" t="s">
        <v>116</v>
      </c>
      <c r="J8" s="14" t="s">
        <v>116</v>
      </c>
      <c r="K8" s="14" t="s">
        <v>116</v>
      </c>
      <c r="L8" s="14" t="s">
        <v>116</v>
      </c>
    </row>
    <row r="9" spans="1:12" x14ac:dyDescent="0.25">
      <c r="A9" s="20"/>
      <c r="B9" s="15" t="s">
        <v>118</v>
      </c>
      <c r="C9" s="15">
        <v>1</v>
      </c>
      <c r="D9" s="15" t="s">
        <v>117</v>
      </c>
      <c r="E9" s="15" t="s">
        <v>117</v>
      </c>
      <c r="F9" s="15" t="s">
        <v>117</v>
      </c>
      <c r="G9" s="15" t="s">
        <v>117</v>
      </c>
      <c r="H9" s="15" t="s">
        <v>117</v>
      </c>
      <c r="I9" s="15" t="s">
        <v>117</v>
      </c>
      <c r="J9" s="15" t="s">
        <v>117</v>
      </c>
      <c r="K9" s="15" t="s">
        <v>117</v>
      </c>
      <c r="L9" s="15" t="s">
        <v>117</v>
      </c>
    </row>
    <row r="10" spans="1:12" x14ac:dyDescent="0.25">
      <c r="A10" s="19" t="s">
        <v>135</v>
      </c>
      <c r="B10" s="14" t="s">
        <v>115</v>
      </c>
      <c r="C10" s="14" t="s">
        <v>100</v>
      </c>
      <c r="D10" s="14" t="s">
        <v>102</v>
      </c>
      <c r="E10" s="14" t="s">
        <v>60</v>
      </c>
      <c r="F10" s="14" t="s">
        <v>116</v>
      </c>
      <c r="G10" s="14" t="s">
        <v>116</v>
      </c>
      <c r="H10" s="14" t="s">
        <v>116</v>
      </c>
      <c r="I10" s="14" t="s">
        <v>116</v>
      </c>
      <c r="J10" s="14" t="s">
        <v>116</v>
      </c>
      <c r="K10" s="14" t="s">
        <v>116</v>
      </c>
      <c r="L10" s="14" t="s">
        <v>116</v>
      </c>
    </row>
    <row r="11" spans="1:12" x14ac:dyDescent="0.25">
      <c r="A11" s="20"/>
      <c r="B11" s="15" t="s">
        <v>118</v>
      </c>
      <c r="C11" s="15">
        <v>1</v>
      </c>
      <c r="D11" s="15">
        <v>1</v>
      </c>
      <c r="E11" s="15">
        <v>1</v>
      </c>
      <c r="F11" s="15" t="s">
        <v>117</v>
      </c>
      <c r="G11" s="15" t="s">
        <v>117</v>
      </c>
      <c r="H11" s="15" t="s">
        <v>117</v>
      </c>
      <c r="I11" s="15" t="s">
        <v>117</v>
      </c>
      <c r="J11" s="15" t="s">
        <v>117</v>
      </c>
      <c r="K11" s="15" t="s">
        <v>117</v>
      </c>
      <c r="L11" s="15" t="s">
        <v>117</v>
      </c>
    </row>
    <row r="12" spans="1:12" x14ac:dyDescent="0.25">
      <c r="A12" s="19" t="s">
        <v>136</v>
      </c>
      <c r="B12" s="14" t="s">
        <v>115</v>
      </c>
      <c r="C12" s="14" t="s">
        <v>102</v>
      </c>
      <c r="D12" s="14" t="s">
        <v>116</v>
      </c>
      <c r="E12" s="14" t="s">
        <v>116</v>
      </c>
      <c r="F12" s="14" t="s">
        <v>116</v>
      </c>
      <c r="G12" s="14" t="s">
        <v>116</v>
      </c>
      <c r="H12" s="14" t="s">
        <v>116</v>
      </c>
      <c r="I12" s="14" t="s">
        <v>116</v>
      </c>
      <c r="J12" s="14" t="s">
        <v>116</v>
      </c>
      <c r="K12" s="14" t="s">
        <v>116</v>
      </c>
      <c r="L12" s="14" t="s">
        <v>116</v>
      </c>
    </row>
    <row r="13" spans="1:12" x14ac:dyDescent="0.25">
      <c r="A13" s="22"/>
      <c r="B13" s="16" t="s">
        <v>118</v>
      </c>
      <c r="C13" s="16">
        <v>6</v>
      </c>
      <c r="D13" s="16" t="s">
        <v>117</v>
      </c>
      <c r="E13" s="16" t="s">
        <v>117</v>
      </c>
      <c r="F13" s="16" t="s">
        <v>117</v>
      </c>
      <c r="G13" s="16" t="s">
        <v>117</v>
      </c>
      <c r="H13" s="16" t="s">
        <v>117</v>
      </c>
      <c r="I13" s="16" t="s">
        <v>117</v>
      </c>
      <c r="J13" s="16" t="s">
        <v>117</v>
      </c>
      <c r="K13" s="16" t="s">
        <v>117</v>
      </c>
      <c r="L13" s="16" t="s">
        <v>117</v>
      </c>
    </row>
    <row r="15" spans="1:12" x14ac:dyDescent="0.25">
      <c r="A15" s="18">
        <v>4</v>
      </c>
      <c r="B15" s="12" t="s">
        <v>86</v>
      </c>
      <c r="C15" s="12" t="s">
        <v>100</v>
      </c>
      <c r="D15" s="12" t="s">
        <v>102</v>
      </c>
      <c r="E15" s="17" t="s">
        <v>60</v>
      </c>
    </row>
    <row r="16" spans="1:12" x14ac:dyDescent="0.25">
      <c r="A16" s="12" t="s">
        <v>119</v>
      </c>
      <c r="B16" s="9">
        <v>0.92</v>
      </c>
      <c r="C16" s="9">
        <v>0.90100000000000002</v>
      </c>
      <c r="D16" s="9">
        <v>0.67400000000000004</v>
      </c>
      <c r="E16" s="13">
        <v>1.3009999999999999</v>
      </c>
    </row>
    <row r="17" spans="1:11" x14ac:dyDescent="0.25">
      <c r="A17" s="12" t="s">
        <v>120</v>
      </c>
      <c r="B17" s="9">
        <v>1.4</v>
      </c>
      <c r="C17" s="9">
        <v>0.84799999999999998</v>
      </c>
      <c r="D17" s="9">
        <v>0.54</v>
      </c>
      <c r="E17" s="13">
        <v>1.224</v>
      </c>
    </row>
    <row r="18" spans="1:11" x14ac:dyDescent="0.25">
      <c r="A18" s="12" t="s">
        <v>86</v>
      </c>
      <c r="B18" s="9">
        <v>0</v>
      </c>
      <c r="C18" s="9">
        <v>300</v>
      </c>
      <c r="D18" s="9">
        <v>300</v>
      </c>
      <c r="E18" s="13">
        <v>-14.09</v>
      </c>
    </row>
    <row r="19" spans="1:11" x14ac:dyDescent="0.25">
      <c r="A19" s="12" t="s">
        <v>100</v>
      </c>
      <c r="B19" s="9">
        <v>1318</v>
      </c>
      <c r="C19" s="9">
        <v>0</v>
      </c>
      <c r="D19" s="9">
        <v>0</v>
      </c>
      <c r="E19" s="13">
        <v>663.5</v>
      </c>
    </row>
    <row r="20" spans="1:11" x14ac:dyDescent="0.25">
      <c r="A20" s="12" t="s">
        <v>102</v>
      </c>
      <c r="B20" s="9">
        <v>1318</v>
      </c>
      <c r="C20" s="9">
        <v>0</v>
      </c>
      <c r="D20" s="9">
        <v>0</v>
      </c>
      <c r="E20" s="13">
        <v>663.5</v>
      </c>
    </row>
    <row r="21" spans="1:11" x14ac:dyDescent="0.25">
      <c r="A21" s="12" t="s">
        <v>60</v>
      </c>
      <c r="B21" s="9">
        <v>-66.17</v>
      </c>
      <c r="C21" s="9">
        <v>315.3</v>
      </c>
      <c r="D21" s="9">
        <v>315.3</v>
      </c>
      <c r="E21" s="13">
        <v>0</v>
      </c>
    </row>
    <row r="22" spans="1:11" x14ac:dyDescent="0.25">
      <c r="A22" s="12" t="s">
        <v>134</v>
      </c>
      <c r="B22" s="9">
        <v>1</v>
      </c>
      <c r="C22" s="9">
        <v>0</v>
      </c>
      <c r="D22" s="9">
        <v>0</v>
      </c>
      <c r="E22" s="13">
        <v>0</v>
      </c>
    </row>
    <row r="23" spans="1:11" x14ac:dyDescent="0.25">
      <c r="A23" s="12" t="s">
        <v>135</v>
      </c>
      <c r="B23" s="9">
        <v>0</v>
      </c>
      <c r="C23" s="9">
        <v>1</v>
      </c>
      <c r="D23" s="9">
        <v>1</v>
      </c>
      <c r="E23" s="13">
        <v>1</v>
      </c>
    </row>
    <row r="24" spans="1:11" x14ac:dyDescent="0.25">
      <c r="A24" s="8" t="s">
        <v>136</v>
      </c>
      <c r="B24" s="10">
        <v>0</v>
      </c>
      <c r="C24" s="10">
        <v>0</v>
      </c>
      <c r="D24" s="10">
        <v>6</v>
      </c>
      <c r="E24" s="11">
        <v>0</v>
      </c>
    </row>
    <row r="26" spans="1:11" x14ac:dyDescent="0.25">
      <c r="B26" s="17" t="s">
        <v>122</v>
      </c>
      <c r="I26" s="17" t="s">
        <v>131</v>
      </c>
    </row>
    <row r="27" spans="1:11" x14ac:dyDescent="0.25">
      <c r="A27" s="23" t="s">
        <v>121</v>
      </c>
      <c r="B27" s="12" t="s">
        <v>123</v>
      </c>
      <c r="C27" s="12" t="s">
        <v>124</v>
      </c>
      <c r="D27" s="12" t="s">
        <v>125</v>
      </c>
      <c r="E27" s="12" t="s">
        <v>126</v>
      </c>
      <c r="F27" s="17" t="s">
        <v>133</v>
      </c>
      <c r="H27" s="12" t="s">
        <v>127</v>
      </c>
      <c r="I27" s="12">
        <v>1</v>
      </c>
      <c r="J27" s="12">
        <v>2</v>
      </c>
      <c r="K27" s="17">
        <v>3</v>
      </c>
    </row>
    <row r="28" spans="1:11" x14ac:dyDescent="0.25">
      <c r="A28" s="24"/>
      <c r="B28" s="10">
        <v>303.2</v>
      </c>
      <c r="C28" s="10">
        <v>1</v>
      </c>
      <c r="D28" s="10">
        <v>0.107</v>
      </c>
      <c r="E28" s="10">
        <f>1-D28-F28</f>
        <v>0.78600000000000003</v>
      </c>
      <c r="F28" s="11">
        <f>D28</f>
        <v>0.107</v>
      </c>
      <c r="H28" s="12" t="s">
        <v>128</v>
      </c>
      <c r="I28" s="9">
        <v>0.107</v>
      </c>
      <c r="J28" s="9">
        <v>0.78600000000000003</v>
      </c>
      <c r="K28" s="13">
        <v>0.107</v>
      </c>
    </row>
    <row r="29" spans="1:11" x14ac:dyDescent="0.25">
      <c r="H29" s="12" t="s">
        <v>129</v>
      </c>
      <c r="I29" s="9">
        <v>1.2147741299999999</v>
      </c>
      <c r="J29" s="9">
        <v>1.8682200000000001E-3</v>
      </c>
      <c r="K29" s="13">
        <v>2.15530848</v>
      </c>
    </row>
    <row r="30" spans="1:11" x14ac:dyDescent="0.25">
      <c r="H30" s="8" t="s">
        <v>130</v>
      </c>
      <c r="I30" s="10">
        <v>3.3695329019664051</v>
      </c>
      <c r="J30" s="10">
        <v>1.0018699662102499</v>
      </c>
      <c r="K30" s="11">
        <v>8.6305521210880034</v>
      </c>
    </row>
  </sheetData>
  <mergeCells count="6">
    <mergeCell ref="A27:A28"/>
    <mergeCell ref="A8:A9"/>
    <mergeCell ref="A10:A11"/>
    <mergeCell ref="B1:H1"/>
    <mergeCell ref="B2:H2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925B13A-3887-4A1D-831F-D388C0DAC1FF}">
          <x14:formula1>
            <xm:f>gruposram!$D$3:$D$4</xm:f>
          </x14:formula1>
          <xm:sqref>B4</xm:sqref>
        </x14:dataValidation>
        <x14:dataValidation type="list" allowBlank="1" showInputMessage="1" showErrorMessage="1" xr:uid="{675CF313-7D79-4E1A-96FE-EEA7A2BC55DD}">
          <x14:formula1>
            <xm:f>gruposram!$E$3:$E$5</xm:f>
          </x14:formula1>
          <xm:sqref>B5</xm:sqref>
        </x14:dataValidation>
        <x14:dataValidation type="list" allowBlank="1" showInputMessage="1" showErrorMessage="1" xr:uid="{7197CA86-6903-4DCF-94B0-EFDD00013253}">
          <x14:formula1>
            <xm:f>gruposram!$B$1:$B$101</xm:f>
          </x14:formula1>
          <xm:sqref>C8 D8 E8 F8 G8 H8 I8 J8 K8 L8 C10 D10 E10 F10 G10 H10 I10 J10 K10 L10 C12 D12 E12 F12 G12 H12 I12 J12 K12 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2020-04-29T22:06:49Z</dcterms:modified>
</cp:coreProperties>
</file>