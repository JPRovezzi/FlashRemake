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"/>
    </mc:Choice>
  </mc:AlternateContent>
  <xr:revisionPtr revIDLastSave="0" documentId="13_ncr:1_{E272CCD3-F993-4417-B96B-BFDB769EB0D6}" xr6:coauthVersionLast="46" xr6:coauthVersionMax="46" xr10:uidLastSave="{00000000-0000-0000-0000-000000000000}"/>
  <bookViews>
    <workbookView xWindow="-110" yWindow="-110" windowWidth="19420" windowHeight="10560" xr2:uid="{00000000-000D-0000-FFFF-FFFF00000000}"/>
  </bookViews>
  <sheets>
    <sheet name="Input" sheetId="1" r:id="rId1"/>
    <sheet name="gruposram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6" i="1" l="1"/>
  <c r="L36" i="1"/>
  <c r="M36" i="1"/>
  <c r="J36" i="1"/>
  <c r="B33" i="1"/>
  <c r="C5" i="1"/>
</calcChain>
</file>

<file path=xl/sharedStrings.xml><?xml version="1.0" encoding="utf-8"?>
<sst xmlns="http://schemas.openxmlformats.org/spreadsheetml/2006/main" count="435" uniqueCount="140">
  <si>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</si>
  <si>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</si>
  <si>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</si>
  <si>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</si>
  <si>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</si>
  <si>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</si>
  <si>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</si>
  <si>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</si>
  <si>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</si>
  <si>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</si>
  <si>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</si>
  <si>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</si>
  <si>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</si>
  <si>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</si>
  <si>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</si>
  <si>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</si>
  <si>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</si>
  <si>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</si>
  <si>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</si>
  <si>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</si>
  <si>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</si>
  <si>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</si>
  <si>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</si>
  <si>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</si>
  <si>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</si>
  <si>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</si>
  <si>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</si>
  <si>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</si>
  <si>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</si>
  <si>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</si>
  <si>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</si>
  <si>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</si>
  <si>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</si>
  <si>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</si>
  <si>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</si>
  <si>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</si>
  <si>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</si>
  <si>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</si>
  <si>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</si>
  <si>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</si>
  <si>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</si>
  <si>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</si>
  <si>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</si>
  <si>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</si>
  <si>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</si>
  <si>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</si>
  <si>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</si>
  <si>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</si>
  <si>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</si>
  <si>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</si>
  <si>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</si>
  <si>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</si>
  <si>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</si>
  <si>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</si>
  <si>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</si>
  <si>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</si>
  <si>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</si>
  <si>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</si>
  <si>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</si>
  <si>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</si>
  <si>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</si>
  <si>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</si>
  <si>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</si>
  <si>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</si>
  <si>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</si>
  <si>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</si>
  <si>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</si>
  <si>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</si>
  <si>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</si>
  <si>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</si>
  <si>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</si>
  <si>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</si>
  <si>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</si>
  <si>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</si>
  <si>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</si>
  <si>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</si>
  <si>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</si>
  <si>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</si>
  <si>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</si>
  <si>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</si>
  <si>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</si>
  <si>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</si>
  <si>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</si>
  <si>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</si>
  <si>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</si>
  <si>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</si>
  <si>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</si>
  <si>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</si>
  <si>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</si>
  <si>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</si>
  <si>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</si>
  <si>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</si>
  <si>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</si>
  <si>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</si>
  <si>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</si>
  <si>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</si>
  <si>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</si>
  <si>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</si>
  <si>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</si>
  <si>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</si>
  <si>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</si>
  <si>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</si>
  <si>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</si>
  <si>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</si>
  <si>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</si>
  <si>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</si>
  <si>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</si>
  <si>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</si>
  <si>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</si>
  <si>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</si>
  <si>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</si>
  <si>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</si>
  <si>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</si>
  <si>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</si>
  <si>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</si>
  <si>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</si>
  <si>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</si>
  <si>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</si>
  <si>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</si>
  <si>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</si>
  <si>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</si>
  <si>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</si>
  <si>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</si>
  <si>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</si>
  <si>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</si>
  <si>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</si>
  <si>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</si>
  <si>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</si>
  <si>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</si>
  <si>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H2O2</t>
  </si>
  <si>
    <t>H2O</t>
  </si>
  <si>
    <t>Laurico</t>
  </si>
  <si>
    <t>z4</t>
  </si>
  <si>
    <t>Comp.</t>
  </si>
  <si>
    <t>x(i)</t>
  </si>
  <si>
    <t>Ln Gamma</t>
  </si>
  <si>
    <t>Gamma</t>
  </si>
  <si>
    <t>Phase 1</t>
  </si>
  <si>
    <t>Phase 2</t>
  </si>
  <si>
    <t>Acetona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</si>
</sst>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36"/>
  <sheetViews>
    <sheetView tabSelected="1" workbookViewId="0">
      <selection activeCell="K24" sqref="K24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3" t="s">
        <v>3</v>
      </c>
      <c r="C1" s="23"/>
      <c r="D1" s="23"/>
      <c r="E1" s="23"/>
      <c r="F1" s="23"/>
      <c r="G1" s="23"/>
      <c r="H1" s="23"/>
    </row>
    <row r="2" spans="1:12" ht="17.45" customHeight="1" thickBot="1" x14ac:dyDescent="0.3">
      <c r="A2" s="7" t="s">
        <v>0</v>
      </c>
      <c r="B2" s="23" t="s">
        <v>1</v>
      </c>
      <c r="C2" s="23"/>
      <c r="D2" s="23"/>
      <c r="E2" s="23"/>
      <c r="F2" s="23"/>
      <c r="G2" s="23"/>
      <c r="H2" s="23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4</v>
      </c>
    </row>
    <row r="8" spans="1:12" x14ac:dyDescent="0.25">
      <c r="A8" s="21" t="s">
        <v>129</v>
      </c>
      <c r="B8" s="14" t="s">
        <v>116</v>
      </c>
      <c r="C8" s="14" t="s">
        <v>89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4"/>
      <c r="B9" s="15" t="s">
        <v>119</v>
      </c>
      <c r="C9" s="15">
        <v>2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21" t="s">
        <v>130</v>
      </c>
      <c r="B10" s="14" t="s">
        <v>116</v>
      </c>
      <c r="C10" s="14" t="s">
        <v>87</v>
      </c>
      <c r="D10" s="14" t="s">
        <v>117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4"/>
      <c r="B11" s="15" t="s">
        <v>119</v>
      </c>
      <c r="C11" s="15">
        <v>1</v>
      </c>
      <c r="D11" s="15" t="s">
        <v>118</v>
      </c>
      <c r="E11" s="15" t="s">
        <v>118</v>
      </c>
      <c r="F11" s="15" t="s">
        <v>118</v>
      </c>
      <c r="G11" s="15" t="s">
        <v>118</v>
      </c>
      <c r="H11" s="15" t="s">
        <v>118</v>
      </c>
      <c r="I11" s="15" t="s">
        <v>118</v>
      </c>
      <c r="J11" s="15" t="s">
        <v>118</v>
      </c>
      <c r="K11" s="15" t="s">
        <v>118</v>
      </c>
      <c r="L11" s="15" t="s">
        <v>118</v>
      </c>
    </row>
    <row r="12" spans="1:12" x14ac:dyDescent="0.25">
      <c r="A12" s="21" t="s">
        <v>139</v>
      </c>
      <c r="B12" s="14" t="s">
        <v>116</v>
      </c>
      <c r="C12" s="14" t="s">
        <v>101</v>
      </c>
      <c r="D12" s="14" t="s">
        <v>85</v>
      </c>
      <c r="E12" s="14" t="s">
        <v>117</v>
      </c>
      <c r="F12" s="14" t="s">
        <v>117</v>
      </c>
      <c r="G12" s="14" t="s">
        <v>117</v>
      </c>
      <c r="H12" s="14" t="s">
        <v>117</v>
      </c>
      <c r="I12" s="14" t="s">
        <v>117</v>
      </c>
      <c r="J12" s="14" t="s">
        <v>117</v>
      </c>
      <c r="K12" s="14" t="s">
        <v>117</v>
      </c>
      <c r="L12" s="14" t="s">
        <v>117</v>
      </c>
    </row>
    <row r="13" spans="1:12" x14ac:dyDescent="0.25">
      <c r="A13" s="24"/>
      <c r="B13" s="15" t="s">
        <v>119</v>
      </c>
      <c r="C13" s="15">
        <v>1</v>
      </c>
      <c r="D13" s="15">
        <v>1</v>
      </c>
      <c r="E13" s="15" t="s">
        <v>118</v>
      </c>
      <c r="F13" s="15" t="s">
        <v>118</v>
      </c>
      <c r="G13" s="15" t="s">
        <v>118</v>
      </c>
      <c r="H13" s="15" t="s">
        <v>118</v>
      </c>
      <c r="I13" s="15" t="s">
        <v>118</v>
      </c>
      <c r="J13" s="15" t="s">
        <v>118</v>
      </c>
      <c r="K13" s="15" t="s">
        <v>118</v>
      </c>
      <c r="L13" s="15" t="s">
        <v>118</v>
      </c>
    </row>
    <row r="14" spans="1:12" x14ac:dyDescent="0.25">
      <c r="A14" s="21" t="s">
        <v>131</v>
      </c>
      <c r="B14" s="14" t="s">
        <v>116</v>
      </c>
      <c r="C14" s="14" t="s">
        <v>101</v>
      </c>
      <c r="D14" s="14" t="s">
        <v>103</v>
      </c>
      <c r="E14" s="14" t="s">
        <v>61</v>
      </c>
      <c r="F14" s="14" t="s">
        <v>117</v>
      </c>
      <c r="G14" s="14" t="s">
        <v>117</v>
      </c>
      <c r="H14" s="14" t="s">
        <v>117</v>
      </c>
      <c r="I14" s="14" t="s">
        <v>117</v>
      </c>
      <c r="J14" s="14" t="s">
        <v>117</v>
      </c>
      <c r="K14" s="14" t="s">
        <v>117</v>
      </c>
      <c r="L14" s="14" t="s">
        <v>117</v>
      </c>
    </row>
    <row r="15" spans="1:12" x14ac:dyDescent="0.25">
      <c r="A15" s="22"/>
      <c r="B15" s="16" t="s">
        <v>119</v>
      </c>
      <c r="C15" s="16">
        <v>1</v>
      </c>
      <c r="D15" s="16">
        <v>10</v>
      </c>
      <c r="E15" s="16">
        <v>1</v>
      </c>
      <c r="F15" s="16" t="s">
        <v>118</v>
      </c>
      <c r="G15" s="16" t="s">
        <v>118</v>
      </c>
      <c r="H15" s="16" t="s">
        <v>118</v>
      </c>
      <c r="I15" s="16" t="s">
        <v>118</v>
      </c>
      <c r="J15" s="16" t="s">
        <v>118</v>
      </c>
      <c r="K15" s="16" t="s">
        <v>118</v>
      </c>
      <c r="L15" s="16" t="s">
        <v>118</v>
      </c>
    </row>
    <row r="17" spans="1:17" x14ac:dyDescent="0.25">
      <c r="A17" s="18">
        <v>6</v>
      </c>
      <c r="B17" s="12" t="s">
        <v>89</v>
      </c>
      <c r="C17" s="12" t="s">
        <v>87</v>
      </c>
      <c r="D17" s="12" t="s">
        <v>101</v>
      </c>
      <c r="E17" s="12" t="s">
        <v>85</v>
      </c>
      <c r="F17" s="12" t="s">
        <v>103</v>
      </c>
      <c r="G17" s="17" t="s">
        <v>61</v>
      </c>
    </row>
    <row r="18" spans="1:17" x14ac:dyDescent="0.25">
      <c r="A18" s="12" t="s">
        <v>120</v>
      </c>
      <c r="B18" s="9">
        <v>1</v>
      </c>
      <c r="C18" s="9">
        <v>0.92</v>
      </c>
      <c r="D18" s="9">
        <v>0.90100000000000002</v>
      </c>
      <c r="E18" s="9">
        <v>1.6719999999999999</v>
      </c>
      <c r="F18" s="9">
        <v>0.67400000000000004</v>
      </c>
      <c r="G18" s="13">
        <v>1.3009999999999999</v>
      </c>
    </row>
    <row r="19" spans="1:17" x14ac:dyDescent="0.25">
      <c r="A19" s="12" t="s">
        <v>121</v>
      </c>
      <c r="B19" s="9">
        <v>1.2</v>
      </c>
      <c r="C19" s="9">
        <v>1.4</v>
      </c>
      <c r="D19" s="9">
        <v>0.84799999999999998</v>
      </c>
      <c r="E19" s="9">
        <v>1.488</v>
      </c>
      <c r="F19" s="9">
        <v>0.54</v>
      </c>
      <c r="G19" s="13">
        <v>1.224</v>
      </c>
    </row>
    <row r="20" spans="1:17" x14ac:dyDescent="0.25">
      <c r="A20" s="12" t="s">
        <v>89</v>
      </c>
      <c r="B20" s="9">
        <v>0</v>
      </c>
      <c r="C20" s="9">
        <v>353.5</v>
      </c>
      <c r="D20" s="9">
        <v>156.4</v>
      </c>
      <c r="E20" s="9">
        <v>84</v>
      </c>
      <c r="F20" s="9">
        <v>156.4</v>
      </c>
      <c r="G20" s="13">
        <v>199</v>
      </c>
    </row>
    <row r="21" spans="1:17" x14ac:dyDescent="0.25">
      <c r="A21" s="12" t="s">
        <v>87</v>
      </c>
      <c r="B21" s="9">
        <v>-229.1</v>
      </c>
      <c r="C21" s="9">
        <v>0</v>
      </c>
      <c r="D21" s="9">
        <v>300</v>
      </c>
      <c r="E21" s="9">
        <v>-195.4</v>
      </c>
      <c r="F21" s="9">
        <v>300</v>
      </c>
      <c r="G21" s="13">
        <v>-14.09</v>
      </c>
    </row>
    <row r="22" spans="1:17" x14ac:dyDescent="0.25">
      <c r="A22" s="12" t="s">
        <v>101</v>
      </c>
      <c r="B22" s="9">
        <v>986.5</v>
      </c>
      <c r="C22" s="9">
        <v>1318</v>
      </c>
      <c r="D22" s="9">
        <v>0</v>
      </c>
      <c r="E22" s="9">
        <v>476.4</v>
      </c>
      <c r="F22" s="9">
        <v>0</v>
      </c>
      <c r="G22" s="13">
        <v>663.5</v>
      </c>
    </row>
    <row r="23" spans="1:17" x14ac:dyDescent="0.25">
      <c r="A23" s="12" t="s">
        <v>85</v>
      </c>
      <c r="B23" s="9">
        <v>164.5</v>
      </c>
      <c r="C23" s="9">
        <v>472.5</v>
      </c>
      <c r="D23" s="9">
        <v>26.76</v>
      </c>
      <c r="E23" s="9">
        <v>0</v>
      </c>
      <c r="F23" s="9">
        <v>26.76</v>
      </c>
      <c r="G23" s="13">
        <v>669.4</v>
      </c>
    </row>
    <row r="24" spans="1:17" x14ac:dyDescent="0.25">
      <c r="A24" s="12" t="s">
        <v>103</v>
      </c>
      <c r="B24" s="9">
        <v>986.5</v>
      </c>
      <c r="C24" s="9">
        <v>1318</v>
      </c>
      <c r="D24" s="9">
        <v>0</v>
      </c>
      <c r="E24" s="9">
        <v>476.4</v>
      </c>
      <c r="F24" s="9">
        <v>0</v>
      </c>
      <c r="G24" s="13">
        <v>663.5</v>
      </c>
    </row>
    <row r="25" spans="1:17" x14ac:dyDescent="0.25">
      <c r="A25" s="12" t="s">
        <v>61</v>
      </c>
      <c r="B25" s="9">
        <v>-151</v>
      </c>
      <c r="C25" s="9">
        <v>-66.17</v>
      </c>
      <c r="D25" s="9">
        <v>315.3</v>
      </c>
      <c r="E25" s="9">
        <v>-297.8</v>
      </c>
      <c r="F25" s="9">
        <v>315.3</v>
      </c>
      <c r="G25" s="13">
        <v>0</v>
      </c>
    </row>
    <row r="26" spans="1:17" x14ac:dyDescent="0.25">
      <c r="A26" s="12" t="s">
        <v>129</v>
      </c>
      <c r="B26" s="9">
        <v>2</v>
      </c>
      <c r="C26" s="9">
        <v>0</v>
      </c>
      <c r="D26" s="9">
        <v>0</v>
      </c>
      <c r="E26" s="9">
        <v>0</v>
      </c>
      <c r="F26" s="9">
        <v>0</v>
      </c>
      <c r="G26" s="13">
        <v>0</v>
      </c>
    </row>
    <row r="27" spans="1:17" x14ac:dyDescent="0.25">
      <c r="A27" s="12" t="s">
        <v>130</v>
      </c>
      <c r="B27" s="9">
        <v>0</v>
      </c>
      <c r="C27" s="9">
        <v>1</v>
      </c>
      <c r="D27" s="9">
        <v>0</v>
      </c>
      <c r="E27" s="9">
        <v>0</v>
      </c>
      <c r="F27" s="9">
        <v>0</v>
      </c>
      <c r="G27" s="13">
        <v>0</v>
      </c>
    </row>
    <row r="28" spans="1:17" x14ac:dyDescent="0.25">
      <c r="A28" s="12" t="s">
        <v>139</v>
      </c>
      <c r="B28" s="9">
        <v>0</v>
      </c>
      <c r="C28" s="9">
        <v>0</v>
      </c>
      <c r="D28" s="9">
        <v>1</v>
      </c>
      <c r="E28" s="9">
        <v>1</v>
      </c>
      <c r="F28" s="9">
        <v>0</v>
      </c>
      <c r="G28" s="13">
        <v>0</v>
      </c>
    </row>
    <row r="29" spans="1:17" x14ac:dyDescent="0.25">
      <c r="A29" s="8" t="s">
        <v>131</v>
      </c>
      <c r="B29" s="10">
        <v>0</v>
      </c>
      <c r="C29" s="10">
        <v>0</v>
      </c>
      <c r="D29" s="10">
        <v>1</v>
      </c>
      <c r="E29" s="10">
        <v>0</v>
      </c>
      <c r="F29" s="10">
        <v>10</v>
      </c>
      <c r="G29" s="11">
        <v>1</v>
      </c>
    </row>
    <row r="31" spans="1:17" x14ac:dyDescent="0.25">
      <c r="B31" s="17" t="s">
        <v>123</v>
      </c>
      <c r="J31" s="17" t="s">
        <v>137</v>
      </c>
      <c r="N31" s="17" t="s">
        <v>138</v>
      </c>
    </row>
    <row r="32" spans="1:17" x14ac:dyDescent="0.25">
      <c r="A32" s="19" t="s">
        <v>122</v>
      </c>
      <c r="B32" s="12" t="s">
        <v>124</v>
      </c>
      <c r="C32" s="12" t="s">
        <v>125</v>
      </c>
      <c r="D32" s="12" t="s">
        <v>126</v>
      </c>
      <c r="E32" s="12" t="s">
        <v>127</v>
      </c>
      <c r="F32" s="12" t="s">
        <v>128</v>
      </c>
      <c r="G32" s="17" t="s">
        <v>132</v>
      </c>
      <c r="I32" s="12" t="s">
        <v>133</v>
      </c>
      <c r="J32" s="12">
        <v>1</v>
      </c>
      <c r="K32" s="12">
        <v>2</v>
      </c>
      <c r="L32" s="12">
        <v>3</v>
      </c>
      <c r="M32" s="12">
        <v>4</v>
      </c>
      <c r="N32" s="12">
        <v>1</v>
      </c>
      <c r="O32" s="12">
        <v>2</v>
      </c>
      <c r="P32" s="12">
        <v>3</v>
      </c>
      <c r="Q32" s="17">
        <v>4</v>
      </c>
    </row>
    <row r="33" spans="1:17" x14ac:dyDescent="0.25">
      <c r="A33" s="20"/>
      <c r="B33" s="10">
        <f>25+273.15</f>
        <v>298.14999999999998</v>
      </c>
      <c r="C33" s="10">
        <v>1</v>
      </c>
      <c r="D33" s="10">
        <v>0.13239373797007051</v>
      </c>
      <c r="E33" s="10">
        <v>0.69260990881086293</v>
      </c>
      <c r="F33" s="10">
        <v>0.17499635321906654</v>
      </c>
      <c r="G33" s="11">
        <v>1.2473003866951543E-2</v>
      </c>
      <c r="I33" s="12" t="s">
        <v>134</v>
      </c>
      <c r="J33" s="9">
        <v>5.5346700000000002E-3</v>
      </c>
      <c r="K33" s="9">
        <v>0.10903154</v>
      </c>
      <c r="L33" s="9">
        <v>0.59745397</v>
      </c>
      <c r="M33" s="9">
        <v>0.28797982</v>
      </c>
      <c r="N33" s="9">
        <v>0.13635691</v>
      </c>
      <c r="O33" s="9">
        <v>0.70976581999999999</v>
      </c>
      <c r="P33" s="9">
        <v>0.15387221000000001</v>
      </c>
      <c r="Q33" s="13">
        <v>5.0599999999999998E-6</v>
      </c>
    </row>
    <row r="34" spans="1:17" x14ac:dyDescent="0.25">
      <c r="I34" s="12" t="s">
        <v>135</v>
      </c>
      <c r="J34" s="9">
        <v>3.1529171900000001</v>
      </c>
      <c r="K34" s="9">
        <v>1.94507338</v>
      </c>
      <c r="L34" s="9">
        <v>0.1168641</v>
      </c>
      <c r="M34" s="9">
        <v>0.15678365</v>
      </c>
      <c r="N34" s="9">
        <v>-5.1325919999999997E-2</v>
      </c>
      <c r="O34" s="9">
        <v>7.1775469999999994E-2</v>
      </c>
      <c r="P34" s="9">
        <v>1.4734188800000001</v>
      </c>
      <c r="Q34" s="13">
        <v>11.10605071</v>
      </c>
    </row>
    <row r="35" spans="1:17" x14ac:dyDescent="0.25">
      <c r="I35" s="8" t="s">
        <v>136</v>
      </c>
      <c r="J35" s="10">
        <v>23.404239706727687</v>
      </c>
      <c r="K35" s="10">
        <v>6.9941450665679916</v>
      </c>
      <c r="L35" s="10">
        <v>1.1239666722401458</v>
      </c>
      <c r="M35" s="10">
        <v>1.1697425127300525</v>
      </c>
      <c r="N35" s="10">
        <v>0.949969006173772</v>
      </c>
      <c r="O35" s="10">
        <v>1.074414078786071</v>
      </c>
      <c r="P35" s="10">
        <v>4.3641301016346103</v>
      </c>
      <c r="Q35" s="11">
        <v>66572.75641489237</v>
      </c>
    </row>
    <row r="36" spans="1:17" x14ac:dyDescent="0.25">
      <c r="J36" s="5">
        <f>J33*J35</f>
        <v>0.12953474337763454</v>
      </c>
      <c r="K36" s="5">
        <f t="shared" ref="K36:M36" si="0">K33*K35</f>
        <v>0.76258240759131057</v>
      </c>
      <c r="L36" s="5">
        <f t="shared" si="0"/>
        <v>0.67151835047756392</v>
      </c>
      <c r="M36" s="5">
        <f t="shared" si="0"/>
        <v>0.33686223826234823</v>
      </c>
    </row>
  </sheetData>
  <mergeCells count="7">
    <mergeCell ref="A14:A15"/>
    <mergeCell ref="B1:H1"/>
    <mergeCell ref="B2:H2"/>
    <mergeCell ref="A8:A9"/>
    <mergeCell ref="A10:A11"/>
    <mergeCell ref="A12:A13"/>
    <mergeCell ref="A32:A3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89AD26-C7EF-44FE-8977-F5124BFF2FAF}">
          <x14:formula1>
            <xm:f>gruposram!$D$3:$D$4</xm:f>
          </x14:formula1>
          <xm:sqref>B4</xm:sqref>
        </x14:dataValidation>
        <x14:dataValidation type="list" allowBlank="1" showInputMessage="1" showErrorMessage="1" xr:uid="{F95F8D96-0F68-41DE-B5BD-0361BC3506A1}">
          <x14:formula1>
            <xm:f>gruposram!$E$3:$E$5</xm:f>
          </x14:formula1>
          <xm:sqref>B5</xm:sqref>
        </x14:dataValidation>
        <x14:dataValidation type="list" allowBlank="1" showInputMessage="1" showErrorMessage="1" xr:uid="{D9063434-4F54-4818-8E74-E9C10AE533AD}">
          <x14:formula1>
            <xm:f>gruposram!$B$1:$B$101</xm:f>
          </x14:formula1>
          <xm:sqref>C8:L8 C10:L10 C12:L12 C14:L14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2021-04-23T13:49:28Z</dcterms:modified>
</cp:coreProperties>
</file>