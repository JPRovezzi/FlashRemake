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2" i="1" l="1"/>
  <c r="N42" i="1"/>
  <c r="M42" i="1"/>
  <c r="L42" i="1"/>
  <c r="K42" i="1"/>
  <c r="T41" i="1"/>
  <c r="S41" i="1"/>
  <c r="R41" i="1"/>
  <c r="Q41" i="1"/>
  <c r="P41" i="1"/>
  <c r="O41" i="1"/>
  <c r="N41" i="1"/>
  <c r="M41" i="1"/>
  <c r="L41" i="1"/>
  <c r="K41" i="1"/>
  <c r="C5" i="1" l="1"/>
</calcChain>
</file>

<file path=xl/sharedStrings.xml><?xml version="1.0" encoding="utf-8"?>
<sst xmlns="http://schemas.openxmlformats.org/spreadsheetml/2006/main" count="459" uniqueCount="142">
  <si>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</si>
  <si>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</si>
  <si>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</si>
  <si>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</si>
  <si>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</si>
  <si>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</si>
  <si>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</si>
  <si>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</si>
  <si>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</si>
  <si>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</si>
  <si>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</si>
  <si>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</si>
  <si>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</si>
  <si>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</si>
  <si>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</si>
  <si>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</si>
  <si>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</si>
  <si>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</si>
  <si>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</si>
  <si>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</si>
  <si>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</si>
  <si>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</si>
  <si>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</si>
  <si>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</si>
  <si>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</si>
  <si>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</si>
  <si>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</si>
  <si>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</si>
  <si>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</si>
  <si>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</si>
  <si>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</si>
  <si>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</si>
  <si>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</si>
  <si>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</si>
  <si>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</si>
  <si>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</si>
  <si>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</si>
  <si>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</si>
  <si>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</si>
  <si>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</si>
  <si>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</si>
  <si>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</si>
  <si>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</si>
  <si>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</si>
  <si>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</si>
  <si>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</si>
  <si>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</si>
  <si>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</si>
  <si>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</si>
  <si>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</si>
  <si>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</si>
  <si>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</si>
  <si>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</si>
  <si>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</si>
  <si>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</si>
  <si>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</si>
  <si>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</si>
  <si>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</si>
  <si>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</si>
  <si>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</si>
  <si>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</si>
  <si>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</si>
  <si>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</si>
  <si>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</si>
  <si>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</si>
  <si>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</si>
  <si>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</si>
  <si>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</si>
  <si>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</si>
  <si>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</si>
  <si>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</si>
  <si>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</si>
  <si>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</si>
  <si>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</si>
  <si>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</si>
  <si>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</si>
  <si>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</si>
  <si>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</si>
  <si>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</si>
  <si>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</si>
  <si>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</si>
  <si>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</si>
  <si>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</si>
  <si>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</si>
  <si>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</si>
  <si>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</si>
  <si>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</si>
  <si>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</si>
  <si>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</si>
  <si>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</si>
  <si>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</si>
  <si>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</si>
  <si>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</si>
  <si>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</si>
  <si>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</si>
  <si>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</si>
  <si>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</si>
  <si>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</si>
  <si>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</si>
  <si>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</si>
  <si>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</si>
  <si>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</si>
  <si>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</si>
  <si>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</si>
  <si>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</si>
  <si>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</si>
  <si>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</si>
  <si>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</si>
  <si>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</si>
  <si>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</si>
  <si>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</si>
  <si>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</si>
  <si>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</si>
  <si>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</si>
  <si>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</si>
  <si>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</si>
  <si>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</si>
  <si>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</si>
  <si>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</si>
  <si>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</si>
  <si>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</si>
  <si>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</si>
  <si>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</si>
  <si>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</si>
  <si>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</si>
  <si>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</si>
  <si>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</si>
  <si>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</si>
  <si>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</si>
  <si>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</si>
  <si>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Phase 1</t>
  </si>
  <si>
    <t>Phase 2</t>
  </si>
  <si>
    <t>Ln Gamma</t>
  </si>
  <si>
    <t>Gamma</t>
  </si>
  <si>
    <t>Comp.</t>
  </si>
  <si>
    <t>x(i)</t>
  </si>
  <si>
    <t>Agua</t>
  </si>
  <si>
    <t>Peroxido</t>
  </si>
  <si>
    <t>z5</t>
  </si>
  <si>
    <t>Ac. Octanóico</t>
  </si>
  <si>
    <t>Limoneno</t>
  </si>
  <si>
    <t>Heptano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</si>
</sst>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42"/>
  <sheetViews>
    <sheetView tabSelected="1" topLeftCell="H27" workbookViewId="0">
      <selection activeCell="R48" sqref="R48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5</v>
      </c>
    </row>
    <row r="8" spans="1:12" x14ac:dyDescent="0.25">
      <c r="A8" s="21" t="s">
        <v>136</v>
      </c>
      <c r="B8" s="14" t="s">
        <v>116</v>
      </c>
      <c r="C8" s="14" t="s">
        <v>87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1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137</v>
      </c>
      <c r="B10" s="14" t="s">
        <v>116</v>
      </c>
      <c r="C10" s="14" t="s">
        <v>89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2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1" t="s">
        <v>140</v>
      </c>
      <c r="B12" s="14" t="s">
        <v>116</v>
      </c>
      <c r="C12" s="14" t="s">
        <v>101</v>
      </c>
      <c r="D12" s="14" t="s">
        <v>103</v>
      </c>
      <c r="E12" s="14" t="s">
        <v>102</v>
      </c>
      <c r="F12" s="14" t="s">
        <v>98</v>
      </c>
      <c r="G12" s="14" t="s">
        <v>97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3"/>
      <c r="B13" s="15" t="s">
        <v>119</v>
      </c>
      <c r="C13" s="15">
        <v>2</v>
      </c>
      <c r="D13" s="15">
        <v>3</v>
      </c>
      <c r="E13" s="15">
        <v>1</v>
      </c>
      <c r="F13" s="15">
        <v>1</v>
      </c>
      <c r="G13" s="15">
        <v>1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25">
      <c r="A14" s="21" t="s">
        <v>139</v>
      </c>
      <c r="B14" s="14" t="s">
        <v>116</v>
      </c>
      <c r="C14" s="14" t="s">
        <v>101</v>
      </c>
      <c r="D14" s="14" t="s">
        <v>103</v>
      </c>
      <c r="E14" s="14" t="s">
        <v>61</v>
      </c>
      <c r="F14" s="14" t="s">
        <v>117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25">
      <c r="A15" s="23"/>
      <c r="B15" s="15" t="s">
        <v>119</v>
      </c>
      <c r="C15" s="15">
        <v>1</v>
      </c>
      <c r="D15" s="15">
        <v>6</v>
      </c>
      <c r="E15" s="15">
        <v>1</v>
      </c>
      <c r="F15" s="15" t="s">
        <v>118</v>
      </c>
      <c r="G15" s="15" t="s">
        <v>118</v>
      </c>
      <c r="H15" s="15" t="s">
        <v>118</v>
      </c>
      <c r="I15" s="15" t="s">
        <v>118</v>
      </c>
      <c r="J15" s="15" t="s">
        <v>118</v>
      </c>
      <c r="K15" s="15" t="s">
        <v>118</v>
      </c>
      <c r="L15" s="15" t="s">
        <v>118</v>
      </c>
    </row>
    <row r="16" spans="1:12" x14ac:dyDescent="0.25">
      <c r="A16" s="21" t="s">
        <v>141</v>
      </c>
      <c r="B16" s="14" t="s">
        <v>116</v>
      </c>
      <c r="C16" s="14" t="s">
        <v>101</v>
      </c>
      <c r="D16" s="14" t="s">
        <v>103</v>
      </c>
      <c r="E16" s="14" t="s">
        <v>117</v>
      </c>
      <c r="F16" s="14" t="s">
        <v>117</v>
      </c>
      <c r="G16" s="14" t="s">
        <v>117</v>
      </c>
      <c r="H16" s="14" t="s">
        <v>117</v>
      </c>
      <c r="I16" s="14" t="s">
        <v>117</v>
      </c>
      <c r="J16" s="14" t="s">
        <v>117</v>
      </c>
      <c r="K16" s="14" t="s">
        <v>117</v>
      </c>
      <c r="L16" s="14" t="s">
        <v>117</v>
      </c>
    </row>
    <row r="17" spans="1:12" x14ac:dyDescent="0.25">
      <c r="A17" s="22"/>
      <c r="B17" s="16" t="s">
        <v>119</v>
      </c>
      <c r="C17" s="16">
        <v>2</v>
      </c>
      <c r="D17" s="16">
        <v>5</v>
      </c>
      <c r="E17" s="16" t="s">
        <v>118</v>
      </c>
      <c r="F17" s="16" t="s">
        <v>118</v>
      </c>
      <c r="G17" s="16" t="s">
        <v>118</v>
      </c>
      <c r="H17" s="16" t="s">
        <v>118</v>
      </c>
      <c r="I17" s="16" t="s">
        <v>118</v>
      </c>
      <c r="J17" s="16" t="s">
        <v>118</v>
      </c>
      <c r="K17" s="16" t="s">
        <v>118</v>
      </c>
      <c r="L17" s="16" t="s">
        <v>118</v>
      </c>
    </row>
    <row r="19" spans="1:12" x14ac:dyDescent="0.25">
      <c r="A19" s="18">
        <v>8</v>
      </c>
      <c r="B19" s="12" t="s">
        <v>87</v>
      </c>
      <c r="C19" s="12" t="s">
        <v>89</v>
      </c>
      <c r="D19" s="12" t="s">
        <v>101</v>
      </c>
      <c r="E19" s="12" t="s">
        <v>103</v>
      </c>
      <c r="F19" s="12" t="s">
        <v>102</v>
      </c>
      <c r="G19" s="12" t="s">
        <v>98</v>
      </c>
      <c r="H19" s="12" t="s">
        <v>97</v>
      </c>
      <c r="I19" s="17" t="s">
        <v>61</v>
      </c>
    </row>
    <row r="20" spans="1:12" x14ac:dyDescent="0.25">
      <c r="A20" s="12" t="s">
        <v>120</v>
      </c>
      <c r="B20" s="9">
        <v>0.92</v>
      </c>
      <c r="C20" s="9">
        <v>1</v>
      </c>
      <c r="D20" s="9">
        <v>0.90100000000000002</v>
      </c>
      <c r="E20" s="9">
        <v>0.67400000000000004</v>
      </c>
      <c r="F20" s="9">
        <v>0.44700000000000001</v>
      </c>
      <c r="G20" s="9">
        <v>1.117</v>
      </c>
      <c r="H20" s="9">
        <v>0.88900000000000001</v>
      </c>
      <c r="I20" s="13">
        <v>1.3009999999999999</v>
      </c>
    </row>
    <row r="21" spans="1:12" x14ac:dyDescent="0.25">
      <c r="A21" s="12" t="s">
        <v>121</v>
      </c>
      <c r="B21" s="9">
        <v>1.4</v>
      </c>
      <c r="C21" s="9">
        <v>1.2</v>
      </c>
      <c r="D21" s="9">
        <v>0.84799999999999998</v>
      </c>
      <c r="E21" s="9">
        <v>0.54</v>
      </c>
      <c r="F21" s="9">
        <v>0.22800000000000001</v>
      </c>
      <c r="G21" s="9">
        <v>0.98799999999999999</v>
      </c>
      <c r="H21" s="9">
        <v>0.67600000000000005</v>
      </c>
      <c r="I21" s="13">
        <v>1.224</v>
      </c>
    </row>
    <row r="22" spans="1:12" x14ac:dyDescent="0.25">
      <c r="A22" s="12" t="s">
        <v>87</v>
      </c>
      <c r="B22" s="9">
        <v>0</v>
      </c>
      <c r="C22" s="9">
        <v>-229.1</v>
      </c>
      <c r="D22" s="9">
        <v>300</v>
      </c>
      <c r="E22" s="9">
        <v>300</v>
      </c>
      <c r="F22" s="9">
        <v>300</v>
      </c>
      <c r="G22" s="9">
        <v>496.1</v>
      </c>
      <c r="H22" s="9">
        <v>496.1</v>
      </c>
      <c r="I22" s="13">
        <v>-14.09</v>
      </c>
    </row>
    <row r="23" spans="1:12" x14ac:dyDescent="0.25">
      <c r="A23" s="12" t="s">
        <v>89</v>
      </c>
      <c r="B23" s="9">
        <v>353.5</v>
      </c>
      <c r="C23" s="9">
        <v>0</v>
      </c>
      <c r="D23" s="9">
        <v>156.4</v>
      </c>
      <c r="E23" s="9">
        <v>156.4</v>
      </c>
      <c r="F23" s="9">
        <v>156.4</v>
      </c>
      <c r="G23" s="9">
        <v>457</v>
      </c>
      <c r="H23" s="9">
        <v>457</v>
      </c>
      <c r="I23" s="13">
        <v>199</v>
      </c>
    </row>
    <row r="24" spans="1:12" x14ac:dyDescent="0.25">
      <c r="A24" s="12" t="s">
        <v>101</v>
      </c>
      <c r="B24" s="9">
        <v>1318</v>
      </c>
      <c r="C24" s="9">
        <v>986.5</v>
      </c>
      <c r="D24" s="9">
        <v>0</v>
      </c>
      <c r="E24" s="9">
        <v>0</v>
      </c>
      <c r="F24" s="9">
        <v>0</v>
      </c>
      <c r="G24" s="9">
        <v>85</v>
      </c>
      <c r="H24" s="9">
        <v>85</v>
      </c>
      <c r="I24" s="13">
        <v>663.5</v>
      </c>
    </row>
    <row r="25" spans="1:12" x14ac:dyDescent="0.25">
      <c r="A25" s="12" t="s">
        <v>103</v>
      </c>
      <c r="B25" s="9">
        <v>1318</v>
      </c>
      <c r="C25" s="9">
        <v>986.5</v>
      </c>
      <c r="D25" s="9">
        <v>0</v>
      </c>
      <c r="E25" s="9">
        <v>0</v>
      </c>
      <c r="F25" s="9">
        <v>0</v>
      </c>
      <c r="G25" s="9">
        <v>85</v>
      </c>
      <c r="H25" s="9">
        <v>85</v>
      </c>
      <c r="I25" s="13">
        <v>663.5</v>
      </c>
    </row>
    <row r="26" spans="1:12" x14ac:dyDescent="0.25">
      <c r="A26" s="12" t="s">
        <v>102</v>
      </c>
      <c r="B26" s="9">
        <v>1318</v>
      </c>
      <c r="C26" s="9">
        <v>986.5</v>
      </c>
      <c r="D26" s="9">
        <v>0</v>
      </c>
      <c r="E26" s="9">
        <v>0</v>
      </c>
      <c r="F26" s="9">
        <v>0</v>
      </c>
      <c r="G26" s="9">
        <v>85</v>
      </c>
      <c r="H26" s="9">
        <v>85</v>
      </c>
      <c r="I26" s="13">
        <v>663.5</v>
      </c>
    </row>
    <row r="27" spans="1:12" x14ac:dyDescent="0.25">
      <c r="A27" s="12" t="s">
        <v>98</v>
      </c>
      <c r="B27" s="9">
        <v>270.60000000000002</v>
      </c>
      <c r="C27" s="9">
        <v>524.1</v>
      </c>
      <c r="D27" s="9">
        <v>-35.36</v>
      </c>
      <c r="E27" s="9">
        <v>-35.36</v>
      </c>
      <c r="F27" s="9">
        <v>-35.36</v>
      </c>
      <c r="G27" s="9">
        <v>0</v>
      </c>
      <c r="H27" s="9">
        <v>0</v>
      </c>
      <c r="I27" s="13">
        <v>318.89999999999998</v>
      </c>
    </row>
    <row r="28" spans="1:12" x14ac:dyDescent="0.25">
      <c r="A28" s="12" t="s">
        <v>97</v>
      </c>
      <c r="B28" s="9">
        <v>270.60000000000002</v>
      </c>
      <c r="C28" s="9">
        <v>524.1</v>
      </c>
      <c r="D28" s="9">
        <v>-35.36</v>
      </c>
      <c r="E28" s="9">
        <v>-35.36</v>
      </c>
      <c r="F28" s="9">
        <v>-35.36</v>
      </c>
      <c r="G28" s="9">
        <v>0</v>
      </c>
      <c r="H28" s="9">
        <v>0</v>
      </c>
      <c r="I28" s="13">
        <v>318.89999999999998</v>
      </c>
    </row>
    <row r="29" spans="1:12" x14ac:dyDescent="0.25">
      <c r="A29" s="12" t="s">
        <v>61</v>
      </c>
      <c r="B29" s="9">
        <v>-66.17</v>
      </c>
      <c r="C29" s="9">
        <v>-151</v>
      </c>
      <c r="D29" s="9">
        <v>315.3</v>
      </c>
      <c r="E29" s="9">
        <v>315.3</v>
      </c>
      <c r="F29" s="9">
        <v>315.3</v>
      </c>
      <c r="G29" s="9">
        <v>1264</v>
      </c>
      <c r="H29" s="9">
        <v>1264</v>
      </c>
      <c r="I29" s="13">
        <v>0</v>
      </c>
    </row>
    <row r="30" spans="1:12" x14ac:dyDescent="0.25">
      <c r="A30" s="12" t="s">
        <v>136</v>
      </c>
      <c r="B30" s="9">
        <v>1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13">
        <v>0</v>
      </c>
    </row>
    <row r="31" spans="1:12" x14ac:dyDescent="0.25">
      <c r="A31" s="12" t="s">
        <v>137</v>
      </c>
      <c r="B31" s="9">
        <v>0</v>
      </c>
      <c r="C31" s="9">
        <v>2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13">
        <v>0</v>
      </c>
    </row>
    <row r="32" spans="1:12" x14ac:dyDescent="0.25">
      <c r="A32" s="12" t="s">
        <v>140</v>
      </c>
      <c r="B32" s="9">
        <v>0</v>
      </c>
      <c r="C32" s="9">
        <v>0</v>
      </c>
      <c r="D32" s="9">
        <v>2</v>
      </c>
      <c r="E32" s="9">
        <v>3</v>
      </c>
      <c r="F32" s="9">
        <v>1</v>
      </c>
      <c r="G32" s="9">
        <v>1</v>
      </c>
      <c r="H32" s="9">
        <v>1</v>
      </c>
      <c r="I32" s="13">
        <v>0</v>
      </c>
    </row>
    <row r="33" spans="1:20" x14ac:dyDescent="0.25">
      <c r="A33" s="12" t="s">
        <v>139</v>
      </c>
      <c r="B33" s="9">
        <v>0</v>
      </c>
      <c r="C33" s="9">
        <v>0</v>
      </c>
      <c r="D33" s="9">
        <v>1</v>
      </c>
      <c r="E33" s="9">
        <v>6</v>
      </c>
      <c r="F33" s="9">
        <v>0</v>
      </c>
      <c r="G33" s="9">
        <v>0</v>
      </c>
      <c r="H33" s="9">
        <v>0</v>
      </c>
      <c r="I33" s="13">
        <v>1</v>
      </c>
    </row>
    <row r="34" spans="1:20" x14ac:dyDescent="0.25">
      <c r="A34" s="8" t="s">
        <v>141</v>
      </c>
      <c r="B34" s="10">
        <v>0</v>
      </c>
      <c r="C34" s="10">
        <v>0</v>
      </c>
      <c r="D34" s="10">
        <v>2</v>
      </c>
      <c r="E34" s="10">
        <v>5</v>
      </c>
      <c r="F34" s="10">
        <v>0</v>
      </c>
      <c r="G34" s="10">
        <v>0</v>
      </c>
      <c r="H34" s="10">
        <v>0</v>
      </c>
      <c r="I34" s="11">
        <v>0</v>
      </c>
    </row>
    <row r="36" spans="1:20" x14ac:dyDescent="0.25">
      <c r="B36" s="17" t="s">
        <v>123</v>
      </c>
      <c r="K36" s="17" t="s">
        <v>130</v>
      </c>
      <c r="P36" s="17" t="s">
        <v>131</v>
      </c>
    </row>
    <row r="37" spans="1:20" x14ac:dyDescent="0.25">
      <c r="A37" s="19" t="s">
        <v>122</v>
      </c>
      <c r="B37" s="12" t="s">
        <v>124</v>
      </c>
      <c r="C37" s="12" t="s">
        <v>125</v>
      </c>
      <c r="D37" s="12" t="s">
        <v>126</v>
      </c>
      <c r="E37" s="12" t="s">
        <v>127</v>
      </c>
      <c r="F37" s="12" t="s">
        <v>128</v>
      </c>
      <c r="G37" s="12" t="s">
        <v>129</v>
      </c>
      <c r="H37" s="17" t="s">
        <v>138</v>
      </c>
      <c r="J37" s="12" t="s">
        <v>134</v>
      </c>
      <c r="K37" s="12">
        <v>1</v>
      </c>
      <c r="L37" s="12">
        <v>2</v>
      </c>
      <c r="M37" s="12">
        <v>3</v>
      </c>
      <c r="N37" s="12">
        <v>4</v>
      </c>
      <c r="O37" s="12">
        <v>5</v>
      </c>
      <c r="P37" s="12">
        <v>1</v>
      </c>
      <c r="Q37" s="12">
        <v>2</v>
      </c>
      <c r="R37" s="12">
        <v>3</v>
      </c>
      <c r="S37" s="12">
        <v>4</v>
      </c>
      <c r="T37" s="17">
        <v>5</v>
      </c>
    </row>
    <row r="38" spans="1:20" x14ac:dyDescent="0.25">
      <c r="A38" s="20"/>
      <c r="B38" s="10">
        <v>333</v>
      </c>
      <c r="C38" s="10">
        <v>1</v>
      </c>
      <c r="D38" s="10">
        <v>0.24375000000000002</v>
      </c>
      <c r="E38" s="10">
        <v>0.13124999999999998</v>
      </c>
      <c r="F38" s="10">
        <v>0.25</v>
      </c>
      <c r="G38" s="10">
        <v>0.125</v>
      </c>
      <c r="H38" s="11">
        <v>0.25</v>
      </c>
      <c r="J38" s="12" t="s">
        <v>135</v>
      </c>
      <c r="K38" s="9">
        <v>0.64349219999999996</v>
      </c>
      <c r="L38" s="9">
        <v>0.35649461999999998</v>
      </c>
      <c r="M38" s="9">
        <v>2.2999999999999999E-7</v>
      </c>
      <c r="N38" s="9">
        <v>1.117E-5</v>
      </c>
      <c r="O38" s="9">
        <v>1.77E-6</v>
      </c>
      <c r="P38" s="9">
        <v>1.18E-2</v>
      </c>
      <c r="Q38" s="9">
        <v>5.5203999999999995E-4</v>
      </c>
      <c r="R38" s="9">
        <v>0.39506211000000002</v>
      </c>
      <c r="S38" s="9">
        <v>0.19752464</v>
      </c>
      <c r="T38" s="13">
        <v>0.39506121</v>
      </c>
    </row>
    <row r="39" spans="1:20" x14ac:dyDescent="0.25">
      <c r="J39" s="12" t="s">
        <v>132</v>
      </c>
      <c r="K39" s="9">
        <v>-2.0656910000000001E-2</v>
      </c>
      <c r="L39" s="9">
        <v>-9.0966199999999997E-3</v>
      </c>
      <c r="M39" s="9">
        <v>14.396981869999999</v>
      </c>
      <c r="N39" s="9">
        <v>10.2928815</v>
      </c>
      <c r="O39" s="9">
        <v>12.4129235</v>
      </c>
      <c r="P39" s="9">
        <v>3.97815327</v>
      </c>
      <c r="Q39" s="9">
        <v>6.4613587099999998</v>
      </c>
      <c r="R39" s="9">
        <v>4.9341719999999999E-2</v>
      </c>
      <c r="S39" s="9">
        <v>0.51283182000000005</v>
      </c>
      <c r="T39" s="13">
        <v>9.9235710000000005E-2</v>
      </c>
    </row>
    <row r="40" spans="1:20" x14ac:dyDescent="0.25">
      <c r="J40" s="8" t="s">
        <v>133</v>
      </c>
      <c r="K40" s="10">
        <v>0.97955498244290373</v>
      </c>
      <c r="L40" s="10">
        <v>0.99094462907722891</v>
      </c>
      <c r="M40" s="10">
        <v>1788668.1847094309</v>
      </c>
      <c r="N40" s="10">
        <v>29521.718742383862</v>
      </c>
      <c r="O40" s="10">
        <v>245959.82781148102</v>
      </c>
      <c r="P40" s="10">
        <v>53.418293916281776</v>
      </c>
      <c r="Q40" s="10">
        <v>639.92994536800313</v>
      </c>
      <c r="R40" s="10">
        <v>1.0505792933637268</v>
      </c>
      <c r="S40" s="10">
        <v>1.6700136833201893</v>
      </c>
      <c r="T40" s="11">
        <v>1.1043265696992832</v>
      </c>
    </row>
    <row r="41" spans="1:20" x14ac:dyDescent="0.25">
      <c r="K41" s="5">
        <f>K40*K38</f>
        <v>0.6303359906731455</v>
      </c>
      <c r="L41" s="5">
        <f t="shared" ref="L41:T41" si="0">L40*L38</f>
        <v>0.35326642898392768</v>
      </c>
      <c r="M41" s="5">
        <f t="shared" si="0"/>
        <v>0.4113936824831691</v>
      </c>
      <c r="N41" s="5">
        <f t="shared" si="0"/>
        <v>0.32975759835242774</v>
      </c>
      <c r="O41" s="5">
        <f t="shared" si="0"/>
        <v>0.43534889522632142</v>
      </c>
      <c r="P41" s="5">
        <f t="shared" si="0"/>
        <v>0.63033586821212495</v>
      </c>
      <c r="Q41" s="5">
        <f t="shared" si="0"/>
        <v>0.35326692704095242</v>
      </c>
      <c r="R41" s="5">
        <f t="shared" si="0"/>
        <v>0.41504407235858293</v>
      </c>
      <c r="S41" s="5">
        <f t="shared" si="0"/>
        <v>0.32986885159289442</v>
      </c>
      <c r="T41" s="5">
        <f t="shared" si="0"/>
        <v>0.43627659086054815</v>
      </c>
    </row>
    <row r="42" spans="1:20" x14ac:dyDescent="0.25">
      <c r="K42" s="5">
        <f>P38/K38</f>
        <v>1.8337440609225722E-2</v>
      </c>
      <c r="L42" s="5">
        <f t="shared" ref="L42:O42" si="1">Q38/L38</f>
        <v>1.5485226677474121E-3</v>
      </c>
      <c r="M42" s="5">
        <f t="shared" si="1"/>
        <v>1717661.3478260871</v>
      </c>
      <c r="N42" s="5">
        <f t="shared" si="1"/>
        <v>17683.495076096689</v>
      </c>
      <c r="O42" s="5">
        <f t="shared" si="1"/>
        <v>223198.42372881356</v>
      </c>
    </row>
  </sheetData>
  <mergeCells count="8">
    <mergeCell ref="A37:A38"/>
    <mergeCell ref="A16:A17"/>
    <mergeCell ref="A14:A15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C16:L16 C14:L14 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C1" sqref="C1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2019-02-21T19:45:11Z</dcterms:modified>
</cp:coreProperties>
</file>