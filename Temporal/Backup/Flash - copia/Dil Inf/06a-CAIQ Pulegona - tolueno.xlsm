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1" l="1"/>
  <c r="C5" i="1" l="1"/>
</calcChain>
</file>

<file path=xl/sharedStrings.xml><?xml version="1.0" encoding="utf-8"?>
<sst xmlns="http://schemas.openxmlformats.org/spreadsheetml/2006/main" count="386" uniqueCount="135">
  <si>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</si>
  <si>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</si>
  <si>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</si>
  <si>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</si>
  <si>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</si>
  <si>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</si>
  <si>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</si>
  <si>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</si>
  <si>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</si>
  <si>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</si>
  <si>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</si>
  <si>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</si>
  <si>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</si>
  <si>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</si>
  <si>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</si>
  <si>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</si>
  <si>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</si>
  <si>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</si>
  <si>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</si>
  <si>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</si>
  <si>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</si>
  <si>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</si>
  <si>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</si>
  <si>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</si>
  <si>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</si>
  <si>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</si>
  <si>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</si>
  <si>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</si>
  <si>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</si>
  <si>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</si>
  <si>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</si>
  <si>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</si>
  <si>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</si>
  <si>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</si>
  <si>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</si>
  <si>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</si>
  <si>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</si>
  <si>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</si>
  <si>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</si>
  <si>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</si>
  <si>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</si>
  <si>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</si>
  <si>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</si>
  <si>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</si>
  <si>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</si>
  <si>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</si>
  <si>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</si>
  <si>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</si>
  <si>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</si>
  <si>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</si>
  <si>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</si>
  <si>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</si>
  <si>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</si>
  <si>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</si>
  <si>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</si>
  <si>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</si>
  <si>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</si>
  <si>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</si>
  <si>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</si>
  <si>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</si>
  <si>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</si>
  <si>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</si>
  <si>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</si>
  <si>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</si>
  <si>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</si>
  <si>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</si>
  <si>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</si>
  <si>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</si>
  <si>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</si>
  <si>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</si>
  <si>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</si>
  <si>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</si>
  <si>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</si>
  <si>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</si>
  <si>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</si>
  <si>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</si>
  <si>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</si>
  <si>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</si>
  <si>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</si>
  <si>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</si>
  <si>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</si>
  <si>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</si>
  <si>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</si>
  <si>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</si>
  <si>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</si>
  <si>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</si>
  <si>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</si>
  <si>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</si>
  <si>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</si>
  <si>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</si>
  <si>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</si>
  <si>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</si>
  <si>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</si>
  <si>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</si>
  <si>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</si>
  <si>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</si>
  <si>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</si>
  <si>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</si>
  <si>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</si>
  <si>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</si>
  <si>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</si>
  <si>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</si>
  <si>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</si>
  <si>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</si>
  <si>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</si>
  <si>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</si>
  <si>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</si>
  <si>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</si>
  <si>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</si>
  <si>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</si>
  <si>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</si>
  <si>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</si>
  <si>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</si>
  <si>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</si>
  <si>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</si>
  <si>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</si>
  <si>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</si>
  <si>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</si>
  <si>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</si>
  <si>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</si>
  <si>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</si>
  <si>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</si>
  <si>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</si>
  <si>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</si>
  <si>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</si>
  <si>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</si>
  <si>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</si>
  <si>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</si>
  <si>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</si>
  <si>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</si>
  <si>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</si>
  <si>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</si>
  <si>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</si>
  <si>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Component 1</t>
  </si>
  <si>
    <t>Component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</si>
</sst>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95251</xdr:colOff>
      <xdr:row>3</xdr:row>
      <xdr:rowOff>0</xdr:rowOff>
    </xdr:from>
    <xdr:to>
      <xdr:col>15</xdr:col>
      <xdr:colOff>657226</xdr:colOff>
      <xdr:row>10</xdr:row>
      <xdr:rowOff>17495</xdr:rowOff>
    </xdr:to>
    <xdr:pic>
      <xdr:nvPicPr>
        <xdr:cNvPr id="7" name="Imagen 6" descr="Pulegone Structural Formulae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1" y="1181100"/>
          <a:ext cx="2647950" cy="13509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2"/>
  <sheetViews>
    <sheetView tabSelected="1" topLeftCell="A17" workbookViewId="0">
      <selection activeCell="H33" sqref="H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2</v>
      </c>
    </row>
    <row r="8" spans="1:12" x14ac:dyDescent="0.25">
      <c r="A8" s="22" t="s">
        <v>133</v>
      </c>
      <c r="B8" s="14" t="s">
        <v>116</v>
      </c>
      <c r="C8" s="14" t="s">
        <v>101</v>
      </c>
      <c r="D8" s="14" t="s">
        <v>103</v>
      </c>
      <c r="E8" s="14" t="s">
        <v>102</v>
      </c>
      <c r="F8" s="14" t="s">
        <v>84</v>
      </c>
      <c r="G8" s="14" t="s">
        <v>99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1</v>
      </c>
      <c r="D9" s="15">
        <v>2</v>
      </c>
      <c r="E9" s="15">
        <v>1</v>
      </c>
      <c r="F9" s="15">
        <v>1</v>
      </c>
      <c r="G9" s="15">
        <v>1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134</v>
      </c>
      <c r="B10" s="14" t="s">
        <v>116</v>
      </c>
      <c r="C10" s="14" t="s">
        <v>94</v>
      </c>
      <c r="D10" s="14" t="s">
        <v>91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4"/>
      <c r="B11" s="16" t="s">
        <v>119</v>
      </c>
      <c r="C11" s="16">
        <v>5</v>
      </c>
      <c r="D11" s="16">
        <v>1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7</v>
      </c>
      <c r="B13" s="12" t="s">
        <v>101</v>
      </c>
      <c r="C13" s="12" t="s">
        <v>103</v>
      </c>
      <c r="D13" s="12" t="s">
        <v>102</v>
      </c>
      <c r="E13" s="12" t="s">
        <v>84</v>
      </c>
      <c r="F13" s="12" t="s">
        <v>99</v>
      </c>
      <c r="G13" s="12" t="s">
        <v>94</v>
      </c>
      <c r="H13" s="17" t="s">
        <v>91</v>
      </c>
    </row>
    <row r="14" spans="1:12" x14ac:dyDescent="0.25">
      <c r="A14" s="12" t="s">
        <v>120</v>
      </c>
      <c r="B14" s="9">
        <v>0.90100000000000002</v>
      </c>
      <c r="C14" s="9">
        <v>0.67400000000000004</v>
      </c>
      <c r="D14" s="9">
        <v>0.44700000000000001</v>
      </c>
      <c r="E14" s="9">
        <v>1.446</v>
      </c>
      <c r="F14" s="9">
        <v>1.117</v>
      </c>
      <c r="G14" s="9">
        <v>0.53100000000000003</v>
      </c>
      <c r="H14" s="13">
        <v>1.266</v>
      </c>
    </row>
    <row r="15" spans="1:12" x14ac:dyDescent="0.25">
      <c r="A15" s="12" t="s">
        <v>121</v>
      </c>
      <c r="B15" s="9">
        <v>0.84799999999999998</v>
      </c>
      <c r="C15" s="9">
        <v>0.54</v>
      </c>
      <c r="D15" s="9">
        <v>0.22800000000000001</v>
      </c>
      <c r="E15" s="9">
        <v>1.18</v>
      </c>
      <c r="F15" s="9">
        <v>0.86699999999999999</v>
      </c>
      <c r="G15" s="9">
        <v>0.4</v>
      </c>
      <c r="H15" s="13">
        <v>0.96799999999999997</v>
      </c>
    </row>
    <row r="16" spans="1:12" x14ac:dyDescent="0.25">
      <c r="A16" s="12" t="s">
        <v>101</v>
      </c>
      <c r="B16" s="9">
        <v>0</v>
      </c>
      <c r="C16" s="9">
        <v>0</v>
      </c>
      <c r="D16" s="9">
        <v>0</v>
      </c>
      <c r="E16" s="9">
        <v>476.4</v>
      </c>
      <c r="F16" s="9">
        <v>85</v>
      </c>
      <c r="G16" s="9">
        <v>61.13</v>
      </c>
      <c r="H16" s="13">
        <v>76.5</v>
      </c>
    </row>
    <row r="17" spans="1:9" x14ac:dyDescent="0.25">
      <c r="A17" s="12" t="s">
        <v>103</v>
      </c>
      <c r="B17" s="9">
        <v>0</v>
      </c>
      <c r="C17" s="9">
        <v>0</v>
      </c>
      <c r="D17" s="9">
        <v>0</v>
      </c>
      <c r="E17" s="9">
        <v>476.4</v>
      </c>
      <c r="F17" s="9">
        <v>85</v>
      </c>
      <c r="G17" s="9">
        <v>61.13</v>
      </c>
      <c r="H17" s="13">
        <v>76.5</v>
      </c>
    </row>
    <row r="18" spans="1:9" x14ac:dyDescent="0.25">
      <c r="A18" s="12" t="s">
        <v>102</v>
      </c>
      <c r="B18" s="9">
        <v>0</v>
      </c>
      <c r="C18" s="9">
        <v>0</v>
      </c>
      <c r="D18" s="9">
        <v>0</v>
      </c>
      <c r="E18" s="9">
        <v>476.4</v>
      </c>
      <c r="F18" s="9">
        <v>85</v>
      </c>
      <c r="G18" s="9">
        <v>61.13</v>
      </c>
      <c r="H18" s="13">
        <v>76.5</v>
      </c>
    </row>
    <row r="19" spans="1:9" x14ac:dyDescent="0.25">
      <c r="A19" s="12" t="s">
        <v>84</v>
      </c>
      <c r="B19" s="9">
        <v>26.76</v>
      </c>
      <c r="C19" s="9">
        <v>26.76</v>
      </c>
      <c r="D19" s="9">
        <v>26.76</v>
      </c>
      <c r="E19" s="9">
        <v>0</v>
      </c>
      <c r="F19" s="9">
        <v>42.92</v>
      </c>
      <c r="G19" s="9">
        <v>140.1</v>
      </c>
      <c r="H19" s="13">
        <v>365.8</v>
      </c>
    </row>
    <row r="20" spans="1:9" x14ac:dyDescent="0.25">
      <c r="A20" s="12" t="s">
        <v>99</v>
      </c>
      <c r="B20" s="9">
        <v>-35.36</v>
      </c>
      <c r="C20" s="9">
        <v>-35.36</v>
      </c>
      <c r="D20" s="9">
        <v>-35.36</v>
      </c>
      <c r="E20" s="9">
        <v>182.6</v>
      </c>
      <c r="F20" s="9">
        <v>0</v>
      </c>
      <c r="G20" s="9">
        <v>38.81</v>
      </c>
      <c r="H20" s="13">
        <v>74.150000000000006</v>
      </c>
    </row>
    <row r="21" spans="1:9" x14ac:dyDescent="0.25">
      <c r="A21" s="12" t="s">
        <v>94</v>
      </c>
      <c r="B21" s="9">
        <v>-11.12</v>
      </c>
      <c r="C21" s="9">
        <v>-11.12</v>
      </c>
      <c r="D21" s="9">
        <v>-11.12</v>
      </c>
      <c r="E21" s="9">
        <v>25.77</v>
      </c>
      <c r="F21" s="9">
        <v>3.4460000000000002</v>
      </c>
      <c r="G21" s="9">
        <v>0</v>
      </c>
      <c r="H21" s="13">
        <v>167</v>
      </c>
    </row>
    <row r="22" spans="1:9" x14ac:dyDescent="0.25">
      <c r="A22" s="12" t="s">
        <v>91</v>
      </c>
      <c r="B22" s="9">
        <v>-69.7</v>
      </c>
      <c r="C22" s="9">
        <v>-69.7</v>
      </c>
      <c r="D22" s="9">
        <v>-69.7</v>
      </c>
      <c r="E22" s="9">
        <v>-52.1</v>
      </c>
      <c r="F22" s="9">
        <v>-113.6</v>
      </c>
      <c r="G22" s="9">
        <v>-146.80000000000001</v>
      </c>
      <c r="H22" s="13">
        <v>0</v>
      </c>
    </row>
    <row r="23" spans="1:9" x14ac:dyDescent="0.25">
      <c r="A23" s="12" t="s">
        <v>133</v>
      </c>
      <c r="B23" s="9">
        <v>1</v>
      </c>
      <c r="C23" s="9">
        <v>2</v>
      </c>
      <c r="D23" s="9">
        <v>1</v>
      </c>
      <c r="E23" s="9">
        <v>1</v>
      </c>
      <c r="F23" s="9">
        <v>1</v>
      </c>
      <c r="G23" s="9">
        <v>0</v>
      </c>
      <c r="H23" s="13">
        <v>0</v>
      </c>
    </row>
    <row r="24" spans="1:9" x14ac:dyDescent="0.25">
      <c r="A24" s="8" t="s">
        <v>134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5</v>
      </c>
      <c r="H24" s="11">
        <v>1</v>
      </c>
    </row>
    <row r="26" spans="1:9" x14ac:dyDescent="0.25">
      <c r="B26" s="17" t="s">
        <v>123</v>
      </c>
      <c r="H26" s="17" t="s">
        <v>132</v>
      </c>
    </row>
    <row r="27" spans="1:9" x14ac:dyDescent="0.25">
      <c r="A27" s="19" t="s">
        <v>122</v>
      </c>
      <c r="B27" s="12" t="s">
        <v>124</v>
      </c>
      <c r="C27" s="12" t="s">
        <v>125</v>
      </c>
      <c r="D27" s="12" t="s">
        <v>126</v>
      </c>
      <c r="E27" s="17" t="s">
        <v>127</v>
      </c>
      <c r="G27" s="12" t="s">
        <v>128</v>
      </c>
      <c r="H27" s="12">
        <v>1</v>
      </c>
      <c r="I27" s="17">
        <v>2</v>
      </c>
    </row>
    <row r="28" spans="1:9" x14ac:dyDescent="0.25">
      <c r="A28" s="20"/>
      <c r="B28" s="10">
        <v>333</v>
      </c>
      <c r="C28" s="10">
        <v>1</v>
      </c>
      <c r="D28" s="10">
        <v>0</v>
      </c>
      <c r="E28" s="11">
        <v>1</v>
      </c>
      <c r="G28" s="12" t="s">
        <v>129</v>
      </c>
      <c r="H28" s="9">
        <v>0</v>
      </c>
      <c r="I28" s="13">
        <v>1</v>
      </c>
    </row>
    <row r="29" spans="1:9" x14ac:dyDescent="0.25">
      <c r="G29" s="12" t="s">
        <v>130</v>
      </c>
      <c r="H29" s="9">
        <v>0.11563132</v>
      </c>
      <c r="I29" s="13">
        <v>0</v>
      </c>
    </row>
    <row r="30" spans="1:9" x14ac:dyDescent="0.25">
      <c r="G30" s="8" t="s">
        <v>131</v>
      </c>
      <c r="H30" s="10">
        <v>1.1225819223273128</v>
      </c>
      <c r="I30" s="11">
        <v>1</v>
      </c>
    </row>
    <row r="32" spans="1:9" x14ac:dyDescent="0.25">
      <c r="H32" s="5">
        <f>1/H30</f>
        <v>0.89080358422913264</v>
      </c>
    </row>
  </sheetData>
  <mergeCells count="5">
    <mergeCell ref="B1:H1"/>
    <mergeCell ref="B2:H2"/>
    <mergeCell ref="A8:A9"/>
    <mergeCell ref="A10:A11"/>
    <mergeCell ref="A27:A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2019-05-28T14:31:44Z</dcterms:modified>
</cp:coreProperties>
</file>