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2" i="1" l="1"/>
  <c r="I31" i="1" l="1"/>
  <c r="C5" i="1" l="1"/>
</calcChain>
</file>

<file path=xl/sharedStrings.xml><?xml version="1.0" encoding="utf-8"?>
<sst xmlns="http://schemas.openxmlformats.org/spreadsheetml/2006/main" count="410" uniqueCount="139">
  <si>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</si>
  <si>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</si>
  <si>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</si>
  <si>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</si>
  <si>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</si>
  <si>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</si>
  <si>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</si>
  <si>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</si>
  <si>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</si>
  <si>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</si>
  <si>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</si>
  <si>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</si>
  <si>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</si>
  <si>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</si>
  <si>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</si>
  <si>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</si>
  <si>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</si>
  <si>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</si>
  <si>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</si>
  <si>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</si>
  <si>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</si>
  <si>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</si>
  <si>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</si>
  <si>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</si>
  <si>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</si>
  <si>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</si>
  <si>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</si>
  <si>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</si>
  <si>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</si>
  <si>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</si>
  <si>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</si>
  <si>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</si>
  <si>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</si>
  <si>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</si>
  <si>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</si>
  <si>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</si>
  <si>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</si>
  <si>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</si>
  <si>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</si>
  <si>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</si>
  <si>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</si>
  <si>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</si>
  <si>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</si>
  <si>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</si>
  <si>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</si>
  <si>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</si>
  <si>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</si>
  <si>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</si>
  <si>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</si>
  <si>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</si>
  <si>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</si>
  <si>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</si>
  <si>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</si>
  <si>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</si>
  <si>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</si>
  <si>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</si>
  <si>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</si>
  <si>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</si>
  <si>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</si>
  <si>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</si>
  <si>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</si>
  <si>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</si>
  <si>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</si>
  <si>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</si>
  <si>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</si>
  <si>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</si>
  <si>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</si>
  <si>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</si>
  <si>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</si>
  <si>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</si>
  <si>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</si>
  <si>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</si>
  <si>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</si>
  <si>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</si>
  <si>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</si>
  <si>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</si>
  <si>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</si>
  <si>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</si>
  <si>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</si>
  <si>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</si>
  <si>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</si>
  <si>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</si>
  <si>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</si>
  <si>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</si>
  <si>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</si>
  <si>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</si>
  <si>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</si>
  <si>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</si>
  <si>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</si>
  <si>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</si>
  <si>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</si>
  <si>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</si>
  <si>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</si>
  <si>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</si>
  <si>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</si>
  <si>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</si>
  <si>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</si>
  <si>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</si>
  <si>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</si>
  <si>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</si>
  <si>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</si>
  <si>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</si>
  <si>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</si>
  <si>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</si>
  <si>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</si>
  <si>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</si>
  <si>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</si>
  <si>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</si>
  <si>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</si>
  <si>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</si>
  <si>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</si>
  <si>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</si>
  <si>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</si>
  <si>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</si>
  <si>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</si>
  <si>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</si>
  <si>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</si>
  <si>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</si>
  <si>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</si>
  <si>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</si>
  <si>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</si>
  <si>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</si>
  <si>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</si>
  <si>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</si>
  <si>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</si>
  <si>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</si>
  <si>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</si>
  <si>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</si>
  <si>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</si>
  <si>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Comp.</t>
  </si>
  <si>
    <t>x(i)</t>
  </si>
  <si>
    <t>Ln Gamma</t>
  </si>
  <si>
    <t>Gamma</t>
  </si>
  <si>
    <t>Phase 1</t>
  </si>
  <si>
    <t>Component 1</t>
  </si>
  <si>
    <t>Component 2</t>
  </si>
  <si>
    <t>Component 3</t>
  </si>
  <si>
    <t>Select.</t>
  </si>
  <si>
    <t>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</si>
</sst>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32"/>
  <sheetViews>
    <sheetView tabSelected="1" topLeftCell="A14" workbookViewId="0">
      <selection activeCell="H31" sqref="H31:H32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1" t="s">
        <v>3</v>
      </c>
      <c r="C1" s="21"/>
      <c r="D1" s="21"/>
      <c r="E1" s="21"/>
      <c r="F1" s="21"/>
      <c r="G1" s="21"/>
      <c r="H1" s="21"/>
    </row>
    <row r="2" spans="1:12" ht="17.45" customHeight="1" thickBot="1" x14ac:dyDescent="0.3">
      <c r="A2" s="7" t="s">
        <v>0</v>
      </c>
      <c r="B2" s="21" t="s">
        <v>1</v>
      </c>
      <c r="C2" s="21"/>
      <c r="D2" s="21"/>
      <c r="E2" s="21"/>
      <c r="F2" s="21"/>
      <c r="G2" s="21"/>
      <c r="H2" s="21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3</v>
      </c>
    </row>
    <row r="8" spans="1:12" x14ac:dyDescent="0.25">
      <c r="A8" s="22" t="s">
        <v>134</v>
      </c>
      <c r="B8" s="14" t="s">
        <v>116</v>
      </c>
      <c r="C8" s="14" t="s">
        <v>89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3"/>
      <c r="B9" s="15" t="s">
        <v>119</v>
      </c>
      <c r="C9" s="15">
        <v>2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2" t="s">
        <v>135</v>
      </c>
      <c r="B10" s="14" t="s">
        <v>116</v>
      </c>
      <c r="C10" s="14" t="s">
        <v>87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3"/>
      <c r="B11" s="15" t="s">
        <v>119</v>
      </c>
      <c r="C11" s="15">
        <v>1</v>
      </c>
      <c r="D11" s="15" t="s">
        <v>118</v>
      </c>
      <c r="E11" s="15" t="s">
        <v>118</v>
      </c>
      <c r="F11" s="15" t="s">
        <v>118</v>
      </c>
      <c r="G11" s="15" t="s">
        <v>118</v>
      </c>
      <c r="H11" s="15" t="s">
        <v>118</v>
      </c>
      <c r="I11" s="15" t="s">
        <v>118</v>
      </c>
      <c r="J11" s="15" t="s">
        <v>118</v>
      </c>
      <c r="K11" s="15" t="s">
        <v>118</v>
      </c>
      <c r="L11" s="15" t="s">
        <v>118</v>
      </c>
    </row>
    <row r="12" spans="1:12" x14ac:dyDescent="0.25">
      <c r="A12" s="22" t="s">
        <v>136</v>
      </c>
      <c r="B12" s="14" t="s">
        <v>116</v>
      </c>
      <c r="C12" s="14" t="s">
        <v>94</v>
      </c>
      <c r="D12" s="14" t="s">
        <v>91</v>
      </c>
      <c r="E12" s="14" t="s">
        <v>117</v>
      </c>
      <c r="F12" s="14" t="s">
        <v>117</v>
      </c>
      <c r="G12" s="14" t="s">
        <v>117</v>
      </c>
      <c r="H12" s="14" t="s">
        <v>117</v>
      </c>
      <c r="I12" s="14" t="s">
        <v>117</v>
      </c>
      <c r="J12" s="14" t="s">
        <v>117</v>
      </c>
      <c r="K12" s="14" t="s">
        <v>117</v>
      </c>
      <c r="L12" s="14" t="s">
        <v>117</v>
      </c>
    </row>
    <row r="13" spans="1:12" x14ac:dyDescent="0.25">
      <c r="A13" s="24"/>
      <c r="B13" s="16" t="s">
        <v>119</v>
      </c>
      <c r="C13" s="16">
        <v>4</v>
      </c>
      <c r="D13" s="16">
        <v>2</v>
      </c>
      <c r="E13" s="16" t="s">
        <v>118</v>
      </c>
      <c r="F13" s="16" t="s">
        <v>118</v>
      </c>
      <c r="G13" s="16" t="s">
        <v>118</v>
      </c>
      <c r="H13" s="16" t="s">
        <v>118</v>
      </c>
      <c r="I13" s="16" t="s">
        <v>118</v>
      </c>
      <c r="J13" s="16" t="s">
        <v>118</v>
      </c>
      <c r="K13" s="16" t="s">
        <v>118</v>
      </c>
      <c r="L13" s="16" t="s">
        <v>118</v>
      </c>
    </row>
    <row r="15" spans="1:12" x14ac:dyDescent="0.25">
      <c r="A15" s="18">
        <v>4</v>
      </c>
      <c r="B15" s="12" t="s">
        <v>89</v>
      </c>
      <c r="C15" s="12" t="s">
        <v>87</v>
      </c>
      <c r="D15" s="12" t="s">
        <v>94</v>
      </c>
      <c r="E15" s="17" t="s">
        <v>91</v>
      </c>
    </row>
    <row r="16" spans="1:12" x14ac:dyDescent="0.25">
      <c r="A16" s="12" t="s">
        <v>120</v>
      </c>
      <c r="B16" s="9">
        <v>1</v>
      </c>
      <c r="C16" s="9">
        <v>0.92</v>
      </c>
      <c r="D16" s="9">
        <v>0.53100000000000003</v>
      </c>
      <c r="E16" s="13">
        <v>1.266</v>
      </c>
    </row>
    <row r="17" spans="1:11" x14ac:dyDescent="0.25">
      <c r="A17" s="12" t="s">
        <v>121</v>
      </c>
      <c r="B17" s="9">
        <v>1.2</v>
      </c>
      <c r="C17" s="9">
        <v>1.4</v>
      </c>
      <c r="D17" s="9">
        <v>0.4</v>
      </c>
      <c r="E17" s="13">
        <v>0.96799999999999997</v>
      </c>
    </row>
    <row r="18" spans="1:11" x14ac:dyDescent="0.25">
      <c r="A18" s="12" t="s">
        <v>89</v>
      </c>
      <c r="B18" s="9">
        <v>0</v>
      </c>
      <c r="C18" s="9">
        <v>353.5</v>
      </c>
      <c r="D18" s="9">
        <v>89.6</v>
      </c>
      <c r="E18" s="13">
        <v>25.82</v>
      </c>
    </row>
    <row r="19" spans="1:11" x14ac:dyDescent="0.25">
      <c r="A19" s="12" t="s">
        <v>87</v>
      </c>
      <c r="B19" s="9">
        <v>-229.1</v>
      </c>
      <c r="C19" s="9">
        <v>0</v>
      </c>
      <c r="D19" s="9">
        <v>362.3</v>
      </c>
      <c r="E19" s="13">
        <v>377.6</v>
      </c>
    </row>
    <row r="20" spans="1:11" x14ac:dyDescent="0.25">
      <c r="A20" s="12" t="s">
        <v>94</v>
      </c>
      <c r="B20" s="9">
        <v>636.1</v>
      </c>
      <c r="C20" s="9">
        <v>903.8</v>
      </c>
      <c r="D20" s="9">
        <v>0</v>
      </c>
      <c r="E20" s="13">
        <v>167</v>
      </c>
    </row>
    <row r="21" spans="1:11" x14ac:dyDescent="0.25">
      <c r="A21" s="12" t="s">
        <v>91</v>
      </c>
      <c r="B21" s="9">
        <v>803.2</v>
      </c>
      <c r="C21" s="9">
        <v>5695</v>
      </c>
      <c r="D21" s="9">
        <v>-146.80000000000001</v>
      </c>
      <c r="E21" s="13">
        <v>0</v>
      </c>
    </row>
    <row r="22" spans="1:11" x14ac:dyDescent="0.25">
      <c r="A22" s="12" t="s">
        <v>134</v>
      </c>
      <c r="B22" s="9">
        <v>2</v>
      </c>
      <c r="C22" s="9">
        <v>0</v>
      </c>
      <c r="D22" s="9">
        <v>0</v>
      </c>
      <c r="E22" s="13">
        <v>0</v>
      </c>
    </row>
    <row r="23" spans="1:11" x14ac:dyDescent="0.25">
      <c r="A23" s="12" t="s">
        <v>135</v>
      </c>
      <c r="B23" s="9">
        <v>0</v>
      </c>
      <c r="C23" s="9">
        <v>1</v>
      </c>
      <c r="D23" s="9">
        <v>0</v>
      </c>
      <c r="E23" s="13">
        <v>0</v>
      </c>
    </row>
    <row r="24" spans="1:11" x14ac:dyDescent="0.25">
      <c r="A24" s="8" t="s">
        <v>136</v>
      </c>
      <c r="B24" s="10">
        <v>0</v>
      </c>
      <c r="C24" s="10">
        <v>0</v>
      </c>
      <c r="D24" s="10">
        <v>4</v>
      </c>
      <c r="E24" s="11">
        <v>2</v>
      </c>
    </row>
    <row r="26" spans="1:11" x14ac:dyDescent="0.25">
      <c r="B26" s="17" t="s">
        <v>123</v>
      </c>
      <c r="I26" s="17" t="s">
        <v>133</v>
      </c>
    </row>
    <row r="27" spans="1:11" x14ac:dyDescent="0.25">
      <c r="A27" s="19" t="s">
        <v>122</v>
      </c>
      <c r="B27" s="12" t="s">
        <v>124</v>
      </c>
      <c r="C27" s="12" t="s">
        <v>125</v>
      </c>
      <c r="D27" s="12" t="s">
        <v>126</v>
      </c>
      <c r="E27" s="12" t="s">
        <v>127</v>
      </c>
      <c r="F27" s="17" t="s">
        <v>128</v>
      </c>
      <c r="H27" s="12" t="s">
        <v>129</v>
      </c>
      <c r="I27" s="12">
        <v>1</v>
      </c>
      <c r="J27" s="12">
        <v>2</v>
      </c>
      <c r="K27" s="17">
        <v>3</v>
      </c>
    </row>
    <row r="28" spans="1:11" x14ac:dyDescent="0.25">
      <c r="A28" s="20"/>
      <c r="B28" s="10">
        <v>333</v>
      </c>
      <c r="C28" s="10">
        <v>1</v>
      </c>
      <c r="D28" s="10">
        <v>0</v>
      </c>
      <c r="E28" s="10">
        <v>0</v>
      </c>
      <c r="F28" s="11">
        <v>1</v>
      </c>
      <c r="H28" s="12" t="s">
        <v>130</v>
      </c>
      <c r="I28" s="9">
        <v>0</v>
      </c>
      <c r="J28" s="9">
        <v>0</v>
      </c>
      <c r="K28" s="13">
        <v>1</v>
      </c>
    </row>
    <row r="29" spans="1:11" x14ac:dyDescent="0.25">
      <c r="H29" s="12" t="s">
        <v>131</v>
      </c>
      <c r="I29" s="9">
        <v>6.2615573800000002</v>
      </c>
      <c r="J29" s="9">
        <v>6.3854281899999998</v>
      </c>
      <c r="K29" s="13">
        <v>0</v>
      </c>
    </row>
    <row r="30" spans="1:11" x14ac:dyDescent="0.25">
      <c r="H30" s="8" t="s">
        <v>132</v>
      </c>
      <c r="I30" s="10">
        <v>524.03442566657043</v>
      </c>
      <c r="J30" s="10">
        <v>593.1386542717778</v>
      </c>
      <c r="K30" s="11">
        <v>1</v>
      </c>
    </row>
    <row r="31" spans="1:11" x14ac:dyDescent="0.25">
      <c r="H31" s="5" t="s">
        <v>137</v>
      </c>
      <c r="I31" s="5">
        <f>J30/I30</f>
        <v>1.1318696353150979</v>
      </c>
    </row>
    <row r="32" spans="1:11" x14ac:dyDescent="0.25">
      <c r="H32" s="5" t="s">
        <v>138</v>
      </c>
      <c r="I32" s="5">
        <f>1/I30</f>
        <v>1.9082715772499156E-3</v>
      </c>
    </row>
  </sheetData>
  <mergeCells count="6">
    <mergeCell ref="A27:A28"/>
    <mergeCell ref="B1:H1"/>
    <mergeCell ref="B2:H2"/>
    <mergeCell ref="A8:A9"/>
    <mergeCell ref="A10:A11"/>
    <mergeCell ref="A12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C12:L12 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2019-03-14T17:53:48Z</dcterms:modified>
</cp:coreProperties>
</file>