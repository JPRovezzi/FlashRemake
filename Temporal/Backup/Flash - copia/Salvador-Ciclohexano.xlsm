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xr:revisionPtr revIDLastSave="0" documentId="13_ncr:1_{486626FD-1338-4F5D-9281-26542BA12C88}" xr6:coauthVersionLast="46" xr6:coauthVersionMax="46" xr10:uidLastSave="{00000000-0000-0000-0000-000000000000}"/>
  <bookViews>
    <workbookView xWindow="-110" yWindow="-110" windowWidth="19420" windowHeight="10560" xr2:uid="{00000000-000D-0000-FFFF-FFFF00000000}"/>
  </bookViews>
  <sheets>
    <sheet name="Input" sheetId="1" r:id="rId1"/>
    <sheet name="gruposram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C5" i="1"/>
</calcChain>
</file>

<file path=xl/sharedStrings.xml><?xml version="1.0" encoding="utf-8"?>
<sst xmlns="http://schemas.openxmlformats.org/spreadsheetml/2006/main" count="434" uniqueCount="140">
  <si>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</si>
  <si>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</si>
  <si>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</si>
  <si>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</si>
  <si>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</si>
  <si>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</si>
  <si>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</si>
  <si>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</si>
  <si>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</si>
  <si>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</si>
  <si>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</si>
  <si>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</si>
  <si>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</si>
  <si>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</si>
  <si>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</si>
  <si>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</si>
  <si>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</si>
  <si>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</si>
  <si>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</si>
  <si>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</si>
  <si>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</si>
  <si>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</si>
  <si>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</si>
  <si>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</si>
  <si>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</si>
  <si>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</si>
  <si>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</si>
  <si>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</si>
  <si>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</si>
  <si>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</si>
  <si>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</si>
  <si>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</si>
  <si>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</si>
  <si>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</si>
  <si>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</si>
  <si>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</si>
  <si>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</si>
  <si>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</si>
  <si>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</si>
  <si>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</si>
  <si>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</si>
  <si>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</si>
  <si>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</si>
  <si>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</si>
  <si>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</si>
  <si>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</si>
  <si>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</si>
  <si>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</si>
  <si>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</si>
  <si>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</si>
  <si>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</si>
  <si>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</si>
  <si>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</si>
  <si>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</si>
  <si>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</si>
  <si>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</si>
  <si>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</si>
  <si>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</si>
  <si>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</si>
  <si>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</si>
  <si>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</si>
  <si>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</si>
  <si>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</si>
  <si>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</si>
  <si>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</si>
  <si>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</si>
  <si>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</si>
  <si>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</si>
  <si>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</si>
  <si>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</si>
  <si>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</si>
  <si>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</si>
  <si>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</si>
  <si>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</si>
  <si>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</si>
  <si>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</si>
  <si>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</si>
  <si>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</si>
  <si>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</si>
  <si>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</si>
  <si>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</si>
  <si>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</si>
  <si>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</si>
  <si>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</si>
  <si>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</si>
  <si>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</si>
  <si>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</si>
  <si>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</si>
  <si>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</si>
  <si>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</si>
  <si>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</si>
  <si>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</si>
  <si>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</si>
  <si>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</si>
  <si>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</si>
  <si>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</si>
  <si>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</si>
  <si>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</si>
  <si>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</si>
  <si>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</si>
  <si>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</si>
  <si>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</si>
  <si>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</si>
  <si>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</si>
  <si>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</si>
  <si>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</si>
  <si>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</si>
  <si>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</si>
  <si>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</si>
  <si>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</si>
  <si>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</si>
  <si>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</si>
  <si>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</si>
  <si>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</si>
  <si>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</si>
  <si>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</si>
  <si>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</si>
  <si>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</si>
  <si>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</si>
  <si>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</si>
  <si>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</si>
  <si>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</si>
  <si>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</si>
  <si>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</si>
  <si>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</si>
  <si>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</si>
  <si>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</si>
  <si>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</si>
  <si>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</si>
  <si>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H2O2</t>
  </si>
  <si>
    <t>H2O</t>
  </si>
  <si>
    <t>Laurico</t>
  </si>
  <si>
    <t>z4</t>
  </si>
  <si>
    <t>Ciclohexano</t>
  </si>
  <si>
    <t>Comp.</t>
  </si>
  <si>
    <t>x(i)</t>
  </si>
  <si>
    <t>Ln Gamma</t>
  </si>
  <si>
    <t>Gamma</t>
  </si>
  <si>
    <t>Phase 1</t>
  </si>
  <si>
    <t>Phase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</si>
</sst>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4"/>
  <sheetViews>
    <sheetView tabSelected="1" topLeftCell="G20" workbookViewId="0">
      <selection activeCell="J32" sqref="J32:Q34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3" t="s">
        <v>3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7" t="s">
        <v>0</v>
      </c>
      <c r="B2" s="23" t="s">
        <v>1</v>
      </c>
      <c r="C2" s="23"/>
      <c r="D2" s="23"/>
      <c r="E2" s="23"/>
      <c r="F2" s="23"/>
      <c r="G2" s="23"/>
      <c r="H2" s="23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19" t="s">
        <v>129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4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19" t="s">
        <v>130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4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19" t="s">
        <v>133</v>
      </c>
      <c r="B12" s="14" t="s">
        <v>116</v>
      </c>
      <c r="C12" s="14" t="s">
        <v>103</v>
      </c>
      <c r="D12" s="14" t="s">
        <v>117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5" t="s">
        <v>119</v>
      </c>
      <c r="C13" s="15">
        <v>6</v>
      </c>
      <c r="D13" s="15" t="s">
        <v>118</v>
      </c>
      <c r="E13" s="15" t="s">
        <v>118</v>
      </c>
      <c r="F13" s="15" t="s">
        <v>118</v>
      </c>
      <c r="G13" s="15" t="s">
        <v>118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19" t="s">
        <v>131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0"/>
      <c r="B15" s="16" t="s">
        <v>119</v>
      </c>
      <c r="C15" s="16">
        <v>1</v>
      </c>
      <c r="D15" s="16">
        <v>10</v>
      </c>
      <c r="E15" s="16">
        <v>1</v>
      </c>
      <c r="F15" s="16" t="s">
        <v>118</v>
      </c>
      <c r="G15" s="16" t="s">
        <v>118</v>
      </c>
      <c r="H15" s="16" t="s">
        <v>118</v>
      </c>
      <c r="I15" s="16" t="s">
        <v>118</v>
      </c>
      <c r="J15" s="16" t="s">
        <v>118</v>
      </c>
      <c r="K15" s="16" t="s">
        <v>118</v>
      </c>
      <c r="L15" s="16" t="s">
        <v>118</v>
      </c>
    </row>
    <row r="17" spans="1:17" x14ac:dyDescent="0.25">
      <c r="A17" s="18">
        <v>5</v>
      </c>
      <c r="B17" s="12" t="s">
        <v>89</v>
      </c>
      <c r="C17" s="12" t="s">
        <v>87</v>
      </c>
      <c r="D17" s="12" t="s">
        <v>103</v>
      </c>
      <c r="E17" s="12" t="s">
        <v>101</v>
      </c>
      <c r="F17" s="17" t="s">
        <v>61</v>
      </c>
    </row>
    <row r="18" spans="1:17" x14ac:dyDescent="0.25">
      <c r="A18" s="12" t="s">
        <v>120</v>
      </c>
      <c r="B18" s="9">
        <v>1</v>
      </c>
      <c r="C18" s="9">
        <v>0.92</v>
      </c>
      <c r="D18" s="9">
        <v>0.67400000000000004</v>
      </c>
      <c r="E18" s="9">
        <v>0.90100000000000002</v>
      </c>
      <c r="F18" s="13">
        <v>1.3009999999999999</v>
      </c>
    </row>
    <row r="19" spans="1:17" x14ac:dyDescent="0.25">
      <c r="A19" s="12" t="s">
        <v>121</v>
      </c>
      <c r="B19" s="9">
        <v>1.2</v>
      </c>
      <c r="C19" s="9">
        <v>1.4</v>
      </c>
      <c r="D19" s="9">
        <v>0.54</v>
      </c>
      <c r="E19" s="9">
        <v>0.84799999999999998</v>
      </c>
      <c r="F19" s="13">
        <v>1.224</v>
      </c>
    </row>
    <row r="20" spans="1:17" x14ac:dyDescent="0.25">
      <c r="A20" s="12" t="s">
        <v>89</v>
      </c>
      <c r="B20" s="9">
        <v>0</v>
      </c>
      <c r="C20" s="9">
        <v>353.5</v>
      </c>
      <c r="D20" s="9">
        <v>156.4</v>
      </c>
      <c r="E20" s="9">
        <v>156.4</v>
      </c>
      <c r="F20" s="13">
        <v>199</v>
      </c>
    </row>
    <row r="21" spans="1:17" x14ac:dyDescent="0.25">
      <c r="A21" s="12" t="s">
        <v>87</v>
      </c>
      <c r="B21" s="9">
        <v>-229.1</v>
      </c>
      <c r="C21" s="9">
        <v>0</v>
      </c>
      <c r="D21" s="9">
        <v>300</v>
      </c>
      <c r="E21" s="9">
        <v>300</v>
      </c>
      <c r="F21" s="13">
        <v>-14.09</v>
      </c>
    </row>
    <row r="22" spans="1:17" x14ac:dyDescent="0.25">
      <c r="A22" s="12" t="s">
        <v>103</v>
      </c>
      <c r="B22" s="9">
        <v>986.5</v>
      </c>
      <c r="C22" s="9">
        <v>1318</v>
      </c>
      <c r="D22" s="9">
        <v>0</v>
      </c>
      <c r="E22" s="9">
        <v>0</v>
      </c>
      <c r="F22" s="13">
        <v>663.5</v>
      </c>
    </row>
    <row r="23" spans="1:17" x14ac:dyDescent="0.25">
      <c r="A23" s="12" t="s">
        <v>101</v>
      </c>
      <c r="B23" s="9">
        <v>986.5</v>
      </c>
      <c r="C23" s="9">
        <v>1318</v>
      </c>
      <c r="D23" s="9">
        <v>0</v>
      </c>
      <c r="E23" s="9">
        <v>0</v>
      </c>
      <c r="F23" s="13">
        <v>663.5</v>
      </c>
    </row>
    <row r="24" spans="1:17" x14ac:dyDescent="0.25">
      <c r="A24" s="12" t="s">
        <v>61</v>
      </c>
      <c r="B24" s="9">
        <v>-151</v>
      </c>
      <c r="C24" s="9">
        <v>-66.17</v>
      </c>
      <c r="D24" s="9">
        <v>315.3</v>
      </c>
      <c r="E24" s="9">
        <v>315.3</v>
      </c>
      <c r="F24" s="13">
        <v>0</v>
      </c>
    </row>
    <row r="25" spans="1:17" x14ac:dyDescent="0.25">
      <c r="A25" s="12" t="s">
        <v>129</v>
      </c>
      <c r="B25" s="9">
        <v>2</v>
      </c>
      <c r="C25" s="9">
        <v>0</v>
      </c>
      <c r="D25" s="9">
        <v>0</v>
      </c>
      <c r="E25" s="9">
        <v>0</v>
      </c>
      <c r="F25" s="13">
        <v>0</v>
      </c>
    </row>
    <row r="26" spans="1:17" x14ac:dyDescent="0.25">
      <c r="A26" s="12" t="s">
        <v>130</v>
      </c>
      <c r="B26" s="9">
        <v>0</v>
      </c>
      <c r="C26" s="9">
        <v>1</v>
      </c>
      <c r="D26" s="9">
        <v>0</v>
      </c>
      <c r="E26" s="9">
        <v>0</v>
      </c>
      <c r="F26" s="13">
        <v>0</v>
      </c>
    </row>
    <row r="27" spans="1:17" x14ac:dyDescent="0.25">
      <c r="A27" s="12" t="s">
        <v>133</v>
      </c>
      <c r="B27" s="9">
        <v>0</v>
      </c>
      <c r="C27" s="9">
        <v>0</v>
      </c>
      <c r="D27" s="9">
        <v>6</v>
      </c>
      <c r="E27" s="9">
        <v>0</v>
      </c>
      <c r="F27" s="13">
        <v>0</v>
      </c>
    </row>
    <row r="28" spans="1:17" x14ac:dyDescent="0.25">
      <c r="A28" s="8" t="s">
        <v>131</v>
      </c>
      <c r="B28" s="10">
        <v>0</v>
      </c>
      <c r="C28" s="10">
        <v>0</v>
      </c>
      <c r="D28" s="10">
        <v>10</v>
      </c>
      <c r="E28" s="10">
        <v>1</v>
      </c>
      <c r="F28" s="11">
        <v>1</v>
      </c>
    </row>
    <row r="30" spans="1:17" x14ac:dyDescent="0.25">
      <c r="B30" s="17" t="s">
        <v>123</v>
      </c>
      <c r="J30" s="17" t="s">
        <v>138</v>
      </c>
      <c r="N30" s="17" t="s">
        <v>139</v>
      </c>
    </row>
    <row r="31" spans="1:17" x14ac:dyDescent="0.25">
      <c r="A31" s="21" t="s">
        <v>122</v>
      </c>
      <c r="B31" s="12" t="s">
        <v>124</v>
      </c>
      <c r="C31" s="12" t="s">
        <v>125</v>
      </c>
      <c r="D31" s="12" t="s">
        <v>126</v>
      </c>
      <c r="E31" s="12" t="s">
        <v>127</v>
      </c>
      <c r="F31" s="12" t="s">
        <v>128</v>
      </c>
      <c r="G31" s="17" t="s">
        <v>132</v>
      </c>
      <c r="I31" s="12" t="s">
        <v>134</v>
      </c>
      <c r="J31" s="12">
        <v>1</v>
      </c>
      <c r="K31" s="12">
        <v>2</v>
      </c>
      <c r="L31" s="12">
        <v>3</v>
      </c>
      <c r="M31" s="12">
        <v>4</v>
      </c>
      <c r="N31" s="12">
        <v>1</v>
      </c>
      <c r="O31" s="12">
        <v>2</v>
      </c>
      <c r="P31" s="12">
        <v>3</v>
      </c>
      <c r="Q31" s="17">
        <v>4</v>
      </c>
    </row>
    <row r="32" spans="1:17" x14ac:dyDescent="0.25">
      <c r="A32" s="22"/>
      <c r="B32" s="10">
        <f>25+273.15</f>
        <v>298.14999999999998</v>
      </c>
      <c r="C32" s="10">
        <v>1</v>
      </c>
      <c r="D32" s="10">
        <v>0.12473995736303579</v>
      </c>
      <c r="E32" s="10">
        <v>0.65256961408412106</v>
      </c>
      <c r="F32" s="10">
        <v>0.22269042855284324</v>
      </c>
      <c r="G32" s="11">
        <v>1.2119771498228524E-2</v>
      </c>
      <c r="I32" s="12" t="s">
        <v>135</v>
      </c>
      <c r="J32" s="9">
        <v>1.362E-5</v>
      </c>
      <c r="K32" s="9">
        <v>1.0577099999999999E-3</v>
      </c>
      <c r="L32" s="9">
        <v>0.94736809</v>
      </c>
      <c r="M32" s="9">
        <v>5.156057E-2</v>
      </c>
      <c r="N32" s="9">
        <v>0.16052377000000001</v>
      </c>
      <c r="O32" s="9">
        <v>0.83947210999999999</v>
      </c>
      <c r="P32" s="9">
        <v>4.1099999999999996E-6</v>
      </c>
      <c r="Q32" s="13">
        <v>0</v>
      </c>
    </row>
    <row r="33" spans="9:17" x14ac:dyDescent="0.25">
      <c r="I33" s="12" t="s">
        <v>136</v>
      </c>
      <c r="J33" s="9">
        <v>9.2540308499999995</v>
      </c>
      <c r="K33" s="9">
        <v>6.6690557400000001</v>
      </c>
      <c r="L33" s="9">
        <v>8.9406199999999998E-3</v>
      </c>
      <c r="M33" s="9">
        <v>0.64019771999999997</v>
      </c>
      <c r="N33" s="9">
        <v>-0.12056696</v>
      </c>
      <c r="O33" s="9">
        <v>-7.6103200000000003E-3</v>
      </c>
      <c r="P33" s="9">
        <v>12.356437379999999</v>
      </c>
      <c r="Q33" s="13">
        <v>16.984107399999999</v>
      </c>
    </row>
    <row r="34" spans="9:17" x14ac:dyDescent="0.25">
      <c r="I34" s="8" t="s">
        <v>137</v>
      </c>
      <c r="J34" s="10">
        <v>10446.589599363862</v>
      </c>
      <c r="K34" s="10">
        <v>787.65150539594322</v>
      </c>
      <c r="L34" s="10">
        <v>1.0089807067206424</v>
      </c>
      <c r="M34" s="10">
        <v>1.8968558885766025</v>
      </c>
      <c r="N34" s="10">
        <v>0.88641773082688813</v>
      </c>
      <c r="O34" s="10">
        <v>0.9924185651636912</v>
      </c>
      <c r="P34" s="10">
        <v>232451.61620286945</v>
      </c>
      <c r="Q34" s="11">
        <v>23774102.120896481</v>
      </c>
    </row>
  </sheetData>
  <mergeCells count="7">
    <mergeCell ref="A31:A32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89AD26-C7EF-44FE-8977-F5124BFF2FAF}">
          <x14:formula1>
            <xm:f>gruposram!$D$3:$D$4</xm:f>
          </x14:formula1>
          <xm:sqref>B4</xm:sqref>
        </x14:dataValidation>
        <x14:dataValidation type="list" allowBlank="1" showInputMessage="1" showErrorMessage="1" xr:uid="{F95F8D96-0F68-41DE-B5BD-0361BC3506A1}">
          <x14:formula1>
            <xm:f>gruposram!$E$3:$E$5</xm:f>
          </x14:formula1>
          <xm:sqref>B5</xm:sqref>
        </x14:dataValidation>
        <x14:dataValidation type="list" allowBlank="1" showInputMessage="1" showErrorMessage="1" xr:uid="{D9063434-4F54-4818-8E74-E9C10AE533AD}">
          <x14:formula1>
            <xm:f>gruposram!$B$1:$B$101</xm:f>
          </x14:formula1>
          <xm:sqref>C8 D8 E8 F8 G8 H8 I8 J8 K8 L8 C10 D10 E10 F10 G10 H10 I10 J10 K10 L10 C12 D12 E12 F12 G12 H12 I12 J12 K12 L12 C14 D14 E14 F14 G14 H14 I14 J14 K14 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2021-04-23T12:49:41Z</dcterms:modified>
</cp:coreProperties>
</file>